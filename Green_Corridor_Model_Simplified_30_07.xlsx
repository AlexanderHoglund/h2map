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FE6A6AA3-D2D3-4FDC-944C-75F054624056}" xr6:coauthVersionLast="47" xr6:coauthVersionMax="47" xr10:uidLastSave="{00000000-0000-0000-0000-000000000000}"/>
  <bookViews>
    <workbookView xWindow="-98" yWindow="-98" windowWidth="21795" windowHeight="13695" tabRatio="500" firstSheet="2" activeTab="8" xr2:uid="{00000000-000D-0000-FFFF-FFFF00000000}"/>
  </bookViews>
  <sheets>
    <sheet name="Cover" sheetId="1" r:id="rId1"/>
    <sheet name="Cargo" sheetId="2" r:id="rId2"/>
    <sheet name="Vessel" sheetId="3" r:id="rId3"/>
    <sheet name="Fuel" sheetId="4" r:id="rId4"/>
    <sheet name="Port" sheetId="5" r:id="rId5"/>
    <sheet name="Regulation" sheetId="6" r:id="rId6"/>
    <sheet name="Calculation" sheetId="7" r:id="rId7"/>
    <sheet name="Output" sheetId="8" r:id="rId8"/>
    <sheet name="Data_table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8" l="1"/>
  <c r="D3" i="8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AA59" i="7"/>
  <c r="I59" i="7"/>
  <c r="H59" i="7"/>
  <c r="G59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O51" i="7" s="1"/>
  <c r="N45" i="7"/>
  <c r="M45" i="7"/>
  <c r="L45" i="7"/>
  <c r="K45" i="7"/>
  <c r="J45" i="7"/>
  <c r="I45" i="7"/>
  <c r="H45" i="7"/>
  <c r="G45" i="7"/>
  <c r="F45" i="7"/>
  <c r="E45" i="7"/>
  <c r="AQ43" i="7"/>
  <c r="AP43" i="7"/>
  <c r="AO43" i="7"/>
  <c r="AN43" i="7"/>
  <c r="AM43" i="7"/>
  <c r="AL43" i="7"/>
  <c r="AK43" i="7"/>
  <c r="AJ43" i="7"/>
  <c r="AI43" i="7"/>
  <c r="AI52" i="7" s="1"/>
  <c r="AH43" i="7"/>
  <c r="AG43" i="7"/>
  <c r="AF43" i="7"/>
  <c r="AE43" i="7"/>
  <c r="AD43" i="7"/>
  <c r="AC43" i="7"/>
  <c r="AB43" i="7"/>
  <c r="AA43" i="7"/>
  <c r="Z43" i="7"/>
  <c r="Y43" i="7"/>
  <c r="X43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AQ40" i="7"/>
  <c r="AQ52" i="7" s="1"/>
  <c r="AP40" i="7"/>
  <c r="AP52" i="7" s="1"/>
  <c r="AO40" i="7"/>
  <c r="AO52" i="7" s="1"/>
  <c r="AN40" i="7"/>
  <c r="AN52" i="7" s="1"/>
  <c r="AM40" i="7"/>
  <c r="AM52" i="7" s="1"/>
  <c r="AL40" i="7"/>
  <c r="AL52" i="7" s="1"/>
  <c r="AK40" i="7"/>
  <c r="AK52" i="7" s="1"/>
  <c r="AJ40" i="7"/>
  <c r="AI40" i="7"/>
  <c r="AH40" i="7"/>
  <c r="AG40" i="7"/>
  <c r="AF40" i="7"/>
  <c r="AE40" i="7"/>
  <c r="AD40" i="7"/>
  <c r="AC40" i="7"/>
  <c r="AB40" i="7"/>
  <c r="AA40" i="7"/>
  <c r="Z40" i="7"/>
  <c r="Z52" i="7" s="1"/>
  <c r="Y40" i="7"/>
  <c r="Y52" i="7" s="1"/>
  <c r="X40" i="7"/>
  <c r="X52" i="7" s="1"/>
  <c r="AQ39" i="7"/>
  <c r="AQ51" i="7" s="1"/>
  <c r="AP39" i="7"/>
  <c r="AP51" i="7" s="1"/>
  <c r="AO39" i="7"/>
  <c r="AO51" i="7" s="1"/>
  <c r="AN39" i="7"/>
  <c r="AN51" i="7" s="1"/>
  <c r="AM39" i="7"/>
  <c r="AM51" i="7" s="1"/>
  <c r="AL39" i="7"/>
  <c r="AL51" i="7" s="1"/>
  <c r="AK39" i="7"/>
  <c r="AK51" i="7" s="1"/>
  <c r="AJ39" i="7"/>
  <c r="AI39" i="7"/>
  <c r="AH39" i="7"/>
  <c r="AH51" i="7" s="1"/>
  <c r="AG39" i="7"/>
  <c r="AG51" i="7" s="1"/>
  <c r="AF39" i="7"/>
  <c r="AE39" i="7"/>
  <c r="AD39" i="7"/>
  <c r="AC39" i="7"/>
  <c r="AB39" i="7"/>
  <c r="AB51" i="7" s="1"/>
  <c r="AA39" i="7"/>
  <c r="AA51" i="7" s="1"/>
  <c r="Z39" i="7"/>
  <c r="Z51" i="7" s="1"/>
  <c r="Y39" i="7"/>
  <c r="Y51" i="7" s="1"/>
  <c r="X39" i="7"/>
  <c r="X51" i="7" s="1"/>
  <c r="W39" i="7"/>
  <c r="W51" i="7" s="1"/>
  <c r="V39" i="7"/>
  <c r="V51" i="7" s="1"/>
  <c r="U39" i="7"/>
  <c r="U51" i="7" s="1"/>
  <c r="T39" i="7"/>
  <c r="T51" i="7" s="1"/>
  <c r="S39" i="7"/>
  <c r="S51" i="7" s="1"/>
  <c r="R39" i="7"/>
  <c r="R51" i="7" s="1"/>
  <c r="Q39" i="7"/>
  <c r="Q51" i="7" s="1"/>
  <c r="P39" i="7"/>
  <c r="O39" i="7"/>
  <c r="N39" i="7"/>
  <c r="N51" i="7" s="1"/>
  <c r="M39" i="7"/>
  <c r="M51" i="7" s="1"/>
  <c r="L39" i="7"/>
  <c r="K39" i="7"/>
  <c r="J39" i="7"/>
  <c r="I39" i="7"/>
  <c r="H39" i="7"/>
  <c r="H51" i="7" s="1"/>
  <c r="G39" i="7"/>
  <c r="G51" i="7" s="1"/>
  <c r="F39" i="7"/>
  <c r="F51" i="7" s="1"/>
  <c r="E39" i="7"/>
  <c r="E51" i="7" s="1"/>
  <c r="AJ34" i="7"/>
  <c r="AI34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AE26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P23" i="7"/>
  <c r="O23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O20" i="7"/>
  <c r="L20" i="7"/>
  <c r="K20" i="7"/>
  <c r="J20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I25" i="7" s="1"/>
  <c r="H19" i="7"/>
  <c r="G19" i="7"/>
  <c r="F19" i="7"/>
  <c r="E19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AQ14" i="7"/>
  <c r="AP14" i="7"/>
  <c r="AP26" i="7" s="1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AQ13" i="7"/>
  <c r="AP13" i="7"/>
  <c r="AP25" i="7" s="1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V25" i="7" s="1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G25" i="7" s="1"/>
  <c r="F13" i="7"/>
  <c r="E13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F21" i="5"/>
  <c r="E21" i="5" s="1"/>
  <c r="H46" i="7" s="1"/>
  <c r="F20" i="5"/>
  <c r="E20" i="5" s="1"/>
  <c r="D45" i="7" s="1"/>
  <c r="F18" i="5"/>
  <c r="E18" i="5" s="1"/>
  <c r="P43" i="7" s="1"/>
  <c r="F17" i="5"/>
  <c r="E17" i="5"/>
  <c r="D42" i="7" s="1"/>
  <c r="F12" i="5"/>
  <c r="E12" i="5" s="1"/>
  <c r="P20" i="7" s="1"/>
  <c r="F11" i="5"/>
  <c r="E11" i="5"/>
  <c r="D19" i="7" s="1"/>
  <c r="F9" i="5"/>
  <c r="E9" i="5"/>
  <c r="F8" i="5"/>
  <c r="E8" i="5"/>
  <c r="D16" i="7" s="1"/>
  <c r="E30" i="4"/>
  <c r="E29" i="4"/>
  <c r="D39" i="7" s="1"/>
  <c r="F27" i="4"/>
  <c r="E27" i="4" s="1"/>
  <c r="F26" i="4"/>
  <c r="E26" i="4" s="1"/>
  <c r="F28" i="4" s="1"/>
  <c r="E28" i="4" s="1"/>
  <c r="F25" i="4"/>
  <c r="E25" i="4" s="1"/>
  <c r="F24" i="4"/>
  <c r="E24" i="4"/>
  <c r="F17" i="4"/>
  <c r="E17" i="4" s="1"/>
  <c r="F16" i="4"/>
  <c r="E16" i="4"/>
  <c r="D13" i="7" s="1"/>
  <c r="F14" i="4"/>
  <c r="E14" i="4"/>
  <c r="F13" i="4"/>
  <c r="E13" i="4" s="1"/>
  <c r="F15" i="4" s="1"/>
  <c r="E15" i="4" s="1"/>
  <c r="G29" i="7" s="1"/>
  <c r="F12" i="4"/>
  <c r="E12" i="4" s="1"/>
  <c r="F11" i="4"/>
  <c r="E11" i="4" s="1"/>
  <c r="F19" i="3"/>
  <c r="E19" i="3" s="1"/>
  <c r="F18" i="3"/>
  <c r="E18" i="3" s="1"/>
  <c r="D48" i="7" s="1"/>
  <c r="F13" i="3"/>
  <c r="E13" i="3"/>
  <c r="F12" i="3"/>
  <c r="E12" i="3" s="1"/>
  <c r="D22" i="7" s="1"/>
  <c r="F17" i="2"/>
  <c r="E17" i="2" s="1"/>
  <c r="AE34" i="7" s="1"/>
  <c r="I40" i="7" l="1"/>
  <c r="O54" i="7"/>
  <c r="W25" i="7"/>
  <c r="AQ25" i="7"/>
  <c r="AQ33" i="7" s="1"/>
  <c r="AQ35" i="7" s="1"/>
  <c r="AQ26" i="7"/>
  <c r="X25" i="7"/>
  <c r="X33" i="7" s="1"/>
  <c r="X35" i="7" s="1"/>
  <c r="X26" i="7"/>
  <c r="E25" i="7"/>
  <c r="Y25" i="7"/>
  <c r="Y33" i="7" s="1"/>
  <c r="Y26" i="7"/>
  <c r="F25" i="7"/>
  <c r="Z25" i="7"/>
  <c r="Z33" i="7" s="1"/>
  <c r="Z26" i="7"/>
  <c r="AA25" i="7"/>
  <c r="AB25" i="7"/>
  <c r="K55" i="7"/>
  <c r="AC25" i="7"/>
  <c r="AC33" i="7" s="1"/>
  <c r="H25" i="7"/>
  <c r="G43" i="7"/>
  <c r="O43" i="7"/>
  <c r="G46" i="7"/>
  <c r="M25" i="7"/>
  <c r="AG25" i="7"/>
  <c r="AG26" i="7"/>
  <c r="N25" i="7"/>
  <c r="AH25" i="7"/>
  <c r="AH26" i="7"/>
  <c r="AI26" i="7"/>
  <c r="Q25" i="7"/>
  <c r="AK25" i="7"/>
  <c r="AK26" i="7"/>
  <c r="R25" i="7"/>
  <c r="AL25" i="7"/>
  <c r="AL26" i="7"/>
  <c r="S25" i="7"/>
  <c r="AM25" i="7"/>
  <c r="AM33" i="7" s="1"/>
  <c r="AM35" i="7" s="1"/>
  <c r="AM26" i="7"/>
  <c r="AG52" i="7"/>
  <c r="AG58" i="7" s="1"/>
  <c r="AG60" i="7" s="1"/>
  <c r="T25" i="7"/>
  <c r="AN25" i="7"/>
  <c r="AN33" i="7" s="1"/>
  <c r="AN35" i="7" s="1"/>
  <c r="AN26" i="7"/>
  <c r="AH52" i="7"/>
  <c r="U25" i="7"/>
  <c r="AO25" i="7"/>
  <c r="AO33" i="7" s="1"/>
  <c r="AO26" i="7"/>
  <c r="J40" i="7"/>
  <c r="K40" i="7"/>
  <c r="AH58" i="7"/>
  <c r="AH60" i="7" s="1"/>
  <c r="H29" i="7"/>
  <c r="I29" i="7"/>
  <c r="AF26" i="7"/>
  <c r="O14" i="7"/>
  <c r="Y58" i="7"/>
  <c r="AK33" i="7"/>
  <c r="AK35" i="7" s="1"/>
  <c r="Z58" i="7"/>
  <c r="L40" i="7"/>
  <c r="AL33" i="7"/>
  <c r="O40" i="7"/>
  <c r="O29" i="7"/>
  <c r="P40" i="7"/>
  <c r="AA52" i="7"/>
  <c r="AA58" i="7" s="1"/>
  <c r="AA60" i="7" s="1"/>
  <c r="AB52" i="7"/>
  <c r="AB58" i="7" s="1"/>
  <c r="O28" i="7"/>
  <c r="AL58" i="7"/>
  <c r="P28" i="7"/>
  <c r="AF52" i="7"/>
  <c r="I52" i="7"/>
  <c r="R49" i="7"/>
  <c r="Q49" i="7"/>
  <c r="N49" i="7"/>
  <c r="M49" i="7"/>
  <c r="F49" i="7"/>
  <c r="E49" i="7"/>
  <c r="D49" i="7"/>
  <c r="W49" i="7"/>
  <c r="V49" i="7"/>
  <c r="U49" i="7"/>
  <c r="T49" i="7"/>
  <c r="S49" i="7"/>
  <c r="P49" i="7"/>
  <c r="G49" i="7"/>
  <c r="R17" i="7"/>
  <c r="Q17" i="7"/>
  <c r="N17" i="7"/>
  <c r="M17" i="7"/>
  <c r="F17" i="7"/>
  <c r="E17" i="7"/>
  <c r="D17" i="7"/>
  <c r="W17" i="7"/>
  <c r="V17" i="7"/>
  <c r="U17" i="7"/>
  <c r="T17" i="7"/>
  <c r="S17" i="7"/>
  <c r="P17" i="7"/>
  <c r="O17" i="7"/>
  <c r="L17" i="7"/>
  <c r="O25" i="7"/>
  <c r="AI25" i="7"/>
  <c r="AE52" i="7"/>
  <c r="O49" i="7"/>
  <c r="P25" i="7"/>
  <c r="AJ25" i="7"/>
  <c r="AJ26" i="7"/>
  <c r="J59" i="7"/>
  <c r="R28" i="7"/>
  <c r="R14" i="7"/>
  <c r="Q28" i="7"/>
  <c r="Q14" i="7"/>
  <c r="N28" i="7"/>
  <c r="N14" i="7"/>
  <c r="M28" i="7"/>
  <c r="M14" i="7"/>
  <c r="F28" i="7"/>
  <c r="F14" i="7"/>
  <c r="E28" i="7"/>
  <c r="E14" i="7"/>
  <c r="D28" i="7"/>
  <c r="D14" i="7"/>
  <c r="W28" i="7"/>
  <c r="W14" i="7"/>
  <c r="V28" i="7"/>
  <c r="V14" i="7"/>
  <c r="U28" i="7"/>
  <c r="U14" i="7"/>
  <c r="T28" i="7"/>
  <c r="T14" i="7"/>
  <c r="S28" i="7"/>
  <c r="S14" i="7"/>
  <c r="J28" i="7"/>
  <c r="K14" i="7"/>
  <c r="I28" i="7"/>
  <c r="J14" i="7"/>
  <c r="H28" i="7"/>
  <c r="I14" i="7"/>
  <c r="G28" i="7"/>
  <c r="H14" i="7"/>
  <c r="G14" i="7"/>
  <c r="H40" i="7"/>
  <c r="K59" i="7"/>
  <c r="D25" i="7"/>
  <c r="R43" i="7"/>
  <c r="Q43" i="7"/>
  <c r="N43" i="7"/>
  <c r="M43" i="7"/>
  <c r="F43" i="7"/>
  <c r="E43" i="7"/>
  <c r="D43" i="7"/>
  <c r="W43" i="7"/>
  <c r="V43" i="7"/>
  <c r="U43" i="7"/>
  <c r="T43" i="7"/>
  <c r="S43" i="7"/>
  <c r="L43" i="7"/>
  <c r="K43" i="7"/>
  <c r="J43" i="7"/>
  <c r="J52" i="7" s="1"/>
  <c r="I43" i="7"/>
  <c r="H43" i="7"/>
  <c r="AP33" i="7"/>
  <c r="AP35" i="7" s="1"/>
  <c r="L59" i="7"/>
  <c r="P14" i="7"/>
  <c r="J51" i="7"/>
  <c r="AD51" i="7"/>
  <c r="I17" i="7"/>
  <c r="K51" i="7"/>
  <c r="J17" i="7"/>
  <c r="G55" i="7"/>
  <c r="R65" i="7"/>
  <c r="R54" i="7"/>
  <c r="R40" i="7"/>
  <c r="Q65" i="7"/>
  <c r="Q54" i="7"/>
  <c r="Q40" i="7"/>
  <c r="O65" i="7"/>
  <c r="N65" i="7"/>
  <c r="N54" i="7"/>
  <c r="N40" i="7"/>
  <c r="M65" i="7"/>
  <c r="M54" i="7"/>
  <c r="M40" i="7"/>
  <c r="F65" i="7"/>
  <c r="F54" i="7"/>
  <c r="F40" i="7"/>
  <c r="E65" i="7"/>
  <c r="E54" i="7"/>
  <c r="E40" i="7"/>
  <c r="D65" i="7"/>
  <c r="D54" i="7"/>
  <c r="D40" i="7"/>
  <c r="W54" i="7"/>
  <c r="W40" i="7"/>
  <c r="W65" i="7"/>
  <c r="V65" i="7"/>
  <c r="V54" i="7"/>
  <c r="V40" i="7"/>
  <c r="U54" i="7"/>
  <c r="U40" i="7"/>
  <c r="U65" i="7"/>
  <c r="T65" i="7"/>
  <c r="T54" i="7"/>
  <c r="T40" i="7"/>
  <c r="S65" i="7"/>
  <c r="S54" i="7"/>
  <c r="S40" i="7"/>
  <c r="P65" i="7"/>
  <c r="P54" i="7"/>
  <c r="L65" i="7"/>
  <c r="K65" i="7"/>
  <c r="J65" i="7"/>
  <c r="L54" i="7"/>
  <c r="G40" i="7"/>
  <c r="K54" i="7"/>
  <c r="J54" i="7"/>
  <c r="I54" i="7"/>
  <c r="H54" i="7"/>
  <c r="G54" i="7"/>
  <c r="J25" i="7"/>
  <c r="AA26" i="7"/>
  <c r="D80" i="7"/>
  <c r="D25" i="8" s="1"/>
  <c r="J29" i="7"/>
  <c r="K25" i="7"/>
  <c r="L34" i="7"/>
  <c r="I49" i="7"/>
  <c r="I55" i="7"/>
  <c r="R23" i="7"/>
  <c r="Q23" i="7"/>
  <c r="N23" i="7"/>
  <c r="M23" i="7"/>
  <c r="F23" i="7"/>
  <c r="E23" i="7"/>
  <c r="D23" i="7"/>
  <c r="W23" i="7"/>
  <c r="V23" i="7"/>
  <c r="U23" i="7"/>
  <c r="T23" i="7"/>
  <c r="S23" i="7"/>
  <c r="J23" i="7"/>
  <c r="I23" i="7"/>
  <c r="H23" i="7"/>
  <c r="G23" i="7"/>
  <c r="K29" i="7"/>
  <c r="L25" i="7"/>
  <c r="AF25" i="7"/>
  <c r="AC26" i="7"/>
  <c r="O34" i="7"/>
  <c r="I65" i="7"/>
  <c r="K28" i="7"/>
  <c r="K49" i="7"/>
  <c r="L14" i="7"/>
  <c r="G17" i="7"/>
  <c r="I51" i="7"/>
  <c r="AC51" i="7"/>
  <c r="H17" i="7"/>
  <c r="AE51" i="7"/>
  <c r="R55" i="7"/>
  <c r="Q55" i="7"/>
  <c r="N55" i="7"/>
  <c r="M55" i="7"/>
  <c r="F55" i="7"/>
  <c r="E55" i="7"/>
  <c r="D55" i="7"/>
  <c r="W55" i="7"/>
  <c r="V55" i="7"/>
  <c r="U55" i="7"/>
  <c r="T55" i="7"/>
  <c r="S55" i="7"/>
  <c r="P55" i="7"/>
  <c r="O55" i="7"/>
  <c r="L51" i="7"/>
  <c r="AF51" i="7"/>
  <c r="AF58" i="7" s="1"/>
  <c r="AF60" i="7" s="1"/>
  <c r="AL59" i="7"/>
  <c r="AL60" i="7" s="1"/>
  <c r="R59" i="7"/>
  <c r="AL34" i="7"/>
  <c r="R34" i="7"/>
  <c r="AK59" i="7"/>
  <c r="Q59" i="7"/>
  <c r="AK34" i="7"/>
  <c r="Q34" i="7"/>
  <c r="AI59" i="7"/>
  <c r="O59" i="7"/>
  <c r="AH59" i="7"/>
  <c r="N59" i="7"/>
  <c r="AH34" i="7"/>
  <c r="N34" i="7"/>
  <c r="AG59" i="7"/>
  <c r="M59" i="7"/>
  <c r="AG34" i="7"/>
  <c r="M34" i="7"/>
  <c r="Z59" i="7"/>
  <c r="F59" i="7"/>
  <c r="Z34" i="7"/>
  <c r="F34" i="7"/>
  <c r="Y59" i="7"/>
  <c r="E59" i="7"/>
  <c r="Y34" i="7"/>
  <c r="E34" i="7"/>
  <c r="X59" i="7"/>
  <c r="D59" i="7"/>
  <c r="X34" i="7"/>
  <c r="D34" i="7"/>
  <c r="AQ34" i="7"/>
  <c r="W34" i="7"/>
  <c r="AQ59" i="7"/>
  <c r="W59" i="7"/>
  <c r="AP59" i="7"/>
  <c r="V59" i="7"/>
  <c r="AP34" i="7"/>
  <c r="V34" i="7"/>
  <c r="AO34" i="7"/>
  <c r="U34" i="7"/>
  <c r="AO59" i="7"/>
  <c r="U59" i="7"/>
  <c r="AN59" i="7"/>
  <c r="T59" i="7"/>
  <c r="AN34" i="7"/>
  <c r="T34" i="7"/>
  <c r="AM59" i="7"/>
  <c r="S59" i="7"/>
  <c r="AM34" i="7"/>
  <c r="S34" i="7"/>
  <c r="AJ59" i="7"/>
  <c r="P59" i="7"/>
  <c r="AF59" i="7"/>
  <c r="J34" i="7"/>
  <c r="AE59" i="7"/>
  <c r="I34" i="7"/>
  <c r="AD59" i="7"/>
  <c r="H34" i="7"/>
  <c r="AC59" i="7"/>
  <c r="G34" i="7"/>
  <c r="AB59" i="7"/>
  <c r="AD34" i="7"/>
  <c r="AC34" i="7"/>
  <c r="AB34" i="7"/>
  <c r="AA34" i="7"/>
  <c r="P34" i="7"/>
  <c r="AD25" i="7"/>
  <c r="K17" i="7"/>
  <c r="K34" i="7"/>
  <c r="H49" i="7"/>
  <c r="H55" i="7"/>
  <c r="G65" i="7"/>
  <c r="D51" i="7"/>
  <c r="AE25" i="7"/>
  <c r="AE33" i="7" s="1"/>
  <c r="AE35" i="7" s="1"/>
  <c r="AB26" i="7"/>
  <c r="H65" i="7"/>
  <c r="AI51" i="7"/>
  <c r="AI58" i="7" s="1"/>
  <c r="AI60" i="7" s="1"/>
  <c r="J49" i="7"/>
  <c r="J55" i="7"/>
  <c r="AG33" i="7"/>
  <c r="AG35" i="7" s="1"/>
  <c r="AD26" i="7"/>
  <c r="K23" i="7"/>
  <c r="AC52" i="7"/>
  <c r="AH33" i="7"/>
  <c r="AH35" i="7" s="1"/>
  <c r="L23" i="7"/>
  <c r="L28" i="7"/>
  <c r="AF34" i="7"/>
  <c r="AK58" i="7"/>
  <c r="AK60" i="7" s="1"/>
  <c r="AD52" i="7"/>
  <c r="L49" i="7"/>
  <c r="L55" i="7"/>
  <c r="AM58" i="7"/>
  <c r="R46" i="7"/>
  <c r="Q46" i="7"/>
  <c r="N46" i="7"/>
  <c r="M46" i="7"/>
  <c r="F46" i="7"/>
  <c r="E46" i="7"/>
  <c r="D46" i="7"/>
  <c r="W46" i="7"/>
  <c r="V46" i="7"/>
  <c r="U46" i="7"/>
  <c r="T46" i="7"/>
  <c r="S46" i="7"/>
  <c r="P46" i="7"/>
  <c r="AN58" i="7"/>
  <c r="I46" i="7"/>
  <c r="AO58" i="7"/>
  <c r="J46" i="7"/>
  <c r="AP58" i="7"/>
  <c r="AP60" i="7" s="1"/>
  <c r="K46" i="7"/>
  <c r="AQ58" i="7"/>
  <c r="AQ60" i="7" s="1"/>
  <c r="L46" i="7"/>
  <c r="X58" i="7"/>
  <c r="AJ52" i="7"/>
  <c r="O46" i="7"/>
  <c r="R20" i="7"/>
  <c r="Q20" i="7"/>
  <c r="N20" i="7"/>
  <c r="M20" i="7"/>
  <c r="F20" i="7"/>
  <c r="E20" i="7"/>
  <c r="D20" i="7"/>
  <c r="W20" i="7"/>
  <c r="V20" i="7"/>
  <c r="U20" i="7"/>
  <c r="T20" i="7"/>
  <c r="S20" i="7"/>
  <c r="R29" i="7"/>
  <c r="Q29" i="7"/>
  <c r="N29" i="7"/>
  <c r="M29" i="7"/>
  <c r="F29" i="7"/>
  <c r="E29" i="7"/>
  <c r="D29" i="7"/>
  <c r="W29" i="7"/>
  <c r="V29" i="7"/>
  <c r="U29" i="7"/>
  <c r="T29" i="7"/>
  <c r="S29" i="7"/>
  <c r="G20" i="7"/>
  <c r="L29" i="7"/>
  <c r="H20" i="7"/>
  <c r="I20" i="7"/>
  <c r="P29" i="7"/>
  <c r="P51" i="7"/>
  <c r="AJ51" i="7"/>
  <c r="Z60" i="7" l="1"/>
  <c r="AB33" i="7"/>
  <c r="T26" i="7"/>
  <c r="T33" i="7" s="1"/>
  <c r="T35" i="7" s="1"/>
  <c r="R26" i="7"/>
  <c r="U26" i="7"/>
  <c r="U33" i="7" s="1"/>
  <c r="U35" i="7" s="1"/>
  <c r="AA33" i="7"/>
  <c r="AA35" i="7" s="1"/>
  <c r="U52" i="7"/>
  <c r="AI33" i="7"/>
  <c r="AI35" i="7" s="1"/>
  <c r="P52" i="7"/>
  <c r="V26" i="7"/>
  <c r="M52" i="7"/>
  <c r="M58" i="7" s="1"/>
  <c r="M60" i="7" s="1"/>
  <c r="V33" i="7"/>
  <c r="V35" i="7" s="1"/>
  <c r="AJ58" i="7"/>
  <c r="AJ60" i="7" s="1"/>
  <c r="R33" i="7"/>
  <c r="R35" i="7" s="1"/>
  <c r="AF33" i="7"/>
  <c r="AF35" i="7" s="1"/>
  <c r="U58" i="7"/>
  <c r="U60" i="7" s="1"/>
  <c r="AE58" i="7"/>
  <c r="AE60" i="7" s="1"/>
  <c r="Y60" i="7"/>
  <c r="AL35" i="7"/>
  <c r="O26" i="7"/>
  <c r="O33" i="7" s="1"/>
  <c r="O35" i="7" s="1"/>
  <c r="I26" i="7"/>
  <c r="I33" i="7" s="1"/>
  <c r="I35" i="7" s="1"/>
  <c r="F26" i="7"/>
  <c r="F33" i="7" s="1"/>
  <c r="F35" i="7" s="1"/>
  <c r="M26" i="7"/>
  <c r="M33" i="7" s="1"/>
  <c r="M35" i="7" s="1"/>
  <c r="O52" i="7"/>
  <c r="O58" i="7" s="1"/>
  <c r="O60" i="7" s="1"/>
  <c r="S52" i="7"/>
  <c r="S58" i="7" s="1"/>
  <c r="S60" i="7" s="1"/>
  <c r="N26" i="7"/>
  <c r="N33" i="7" s="1"/>
  <c r="N35" i="7" s="1"/>
  <c r="AD33" i="7"/>
  <c r="AD35" i="7" s="1"/>
  <c r="F52" i="7"/>
  <c r="F58" i="7" s="1"/>
  <c r="F60" i="7" s="1"/>
  <c r="AD58" i="7"/>
  <c r="AD60" i="7" s="1"/>
  <c r="X60" i="7"/>
  <c r="J58" i="7"/>
  <c r="J60" i="7" s="1"/>
  <c r="S26" i="7"/>
  <c r="S33" i="7" s="1"/>
  <c r="S35" i="7" s="1"/>
  <c r="Q26" i="7"/>
  <c r="Q33" i="7" s="1"/>
  <c r="Q35" i="7" s="1"/>
  <c r="AC58" i="7"/>
  <c r="AC60" i="7" s="1"/>
  <c r="AN60" i="7"/>
  <c r="D81" i="7"/>
  <c r="D30" i="8" s="1"/>
  <c r="P58" i="7"/>
  <c r="P60" i="7" s="1"/>
  <c r="D75" i="7"/>
  <c r="D17" i="8" s="1"/>
  <c r="D74" i="7"/>
  <c r="D16" i="8" s="1"/>
  <c r="D73" i="7"/>
  <c r="D15" i="8" s="1"/>
  <c r="E52" i="7"/>
  <c r="E58" i="7" s="1"/>
  <c r="E60" i="7" s="1"/>
  <c r="J26" i="7"/>
  <c r="J33" i="7" s="1"/>
  <c r="J35" i="7" s="1"/>
  <c r="D78" i="7"/>
  <c r="D20" i="8" s="1"/>
  <c r="D77" i="7"/>
  <c r="D19" i="8" s="1"/>
  <c r="D76" i="7"/>
  <c r="D18" i="8" s="1"/>
  <c r="K26" i="7"/>
  <c r="K33" i="7"/>
  <c r="K35" i="7" s="1"/>
  <c r="T52" i="7"/>
  <c r="T58" i="7" s="1"/>
  <c r="T60" i="7" s="1"/>
  <c r="P26" i="7"/>
  <c r="P33" i="7" s="1"/>
  <c r="P35" i="7" s="1"/>
  <c r="I58" i="7"/>
  <c r="I60" i="7" s="1"/>
  <c r="D82" i="7"/>
  <c r="AC35" i="7"/>
  <c r="V52" i="7"/>
  <c r="V58" i="7" s="1"/>
  <c r="V60" i="7" s="1"/>
  <c r="W26" i="7"/>
  <c r="W33" i="7" s="1"/>
  <c r="W35" i="7" s="1"/>
  <c r="Q52" i="7"/>
  <c r="Q58" i="7" s="1"/>
  <c r="Q60" i="7" s="1"/>
  <c r="AB35" i="7"/>
  <c r="D26" i="7"/>
  <c r="D33" i="7" s="1"/>
  <c r="D35" i="7" s="1"/>
  <c r="AM60" i="7"/>
  <c r="G52" i="7"/>
  <c r="G58" i="7" s="1"/>
  <c r="G60" i="7" s="1"/>
  <c r="W52" i="7"/>
  <c r="W58" i="7" s="1"/>
  <c r="W60" i="7" s="1"/>
  <c r="G26" i="7"/>
  <c r="G33" i="7" s="1"/>
  <c r="G35" i="7" s="1"/>
  <c r="R52" i="7"/>
  <c r="R58" i="7" s="1"/>
  <c r="R60" i="7" s="1"/>
  <c r="K52" i="7"/>
  <c r="K58" i="7" s="1"/>
  <c r="K60" i="7" s="1"/>
  <c r="E26" i="7"/>
  <c r="E33" i="7" s="1"/>
  <c r="E35" i="7" s="1"/>
  <c r="N52" i="7"/>
  <c r="N58" i="7" s="1"/>
  <c r="N60" i="7" s="1"/>
  <c r="AJ33" i="7"/>
  <c r="AJ35" i="7" s="1"/>
  <c r="Z35" i="7"/>
  <c r="AB60" i="7"/>
  <c r="H52" i="7"/>
  <c r="H58" i="7" s="1"/>
  <c r="H60" i="7" s="1"/>
  <c r="AO35" i="7"/>
  <c r="AO60" i="7"/>
  <c r="L26" i="7"/>
  <c r="L33" i="7" s="1"/>
  <c r="L35" i="7" s="1"/>
  <c r="D72" i="7"/>
  <c r="Y35" i="7"/>
  <c r="H26" i="7"/>
  <c r="H33" i="7" s="1"/>
  <c r="H35" i="7" s="1"/>
  <c r="D84" i="7"/>
  <c r="D52" i="7"/>
  <c r="L52" i="7"/>
  <c r="L58" i="7" s="1"/>
  <c r="L60" i="7" s="1"/>
  <c r="C37" i="8" l="1"/>
  <c r="D70" i="7"/>
  <c r="H37" i="8"/>
  <c r="G37" i="8"/>
  <c r="D21" i="8"/>
  <c r="C39" i="8"/>
  <c r="D14" i="8"/>
  <c r="D85" i="7"/>
  <c r="D58" i="7"/>
  <c r="D60" i="7" s="1"/>
  <c r="D71" i="7" s="1"/>
  <c r="D83" i="7"/>
  <c r="C38" i="8" l="1"/>
  <c r="H38" i="8"/>
  <c r="G38" i="8"/>
  <c r="E36" i="8"/>
  <c r="D9" i="8"/>
  <c r="H39" i="8"/>
  <c r="G39" i="8"/>
  <c r="E40" i="8"/>
  <c r="I40" i="8" s="1"/>
  <c r="D79" i="7"/>
  <c r="D10" i="8" s="1"/>
  <c r="D8" i="8"/>
  <c r="D31" i="8" l="1"/>
  <c r="D26" i="8"/>
  <c r="I36" i="8"/>
  <c r="D37" i="8"/>
  <c r="E37" i="8" l="1"/>
  <c r="D38" i="8" s="1"/>
  <c r="E38" i="8" l="1"/>
  <c r="D39" i="8" s="1"/>
  <c r="F37" i="8"/>
  <c r="F38" i="8" l="1"/>
  <c r="E39" i="8"/>
  <c r="F3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0" authorId="0" shapeId="0" xr:uid="{00000000-0006-0000-0100-000001000000}">
      <text>
        <r>
          <rPr>
            <sz val="10"/>
            <rFont val="Arial"/>
            <family val="2"/>
          </rPr>
          <t>Leave as-is / blank if Corridor type = Single point</t>
        </r>
      </text>
    </comment>
    <comment ref="D11" authorId="0" shapeId="0" xr:uid="{00000000-0006-0000-0100-000002000000}">
      <text>
        <r>
          <rPr>
            <sz val="10"/>
            <rFont val="Arial"/>
            <family val="2"/>
          </rPr>
          <t>One-way distance between Port A and Port B. Used as a round trip (x2) if fuel consumption is set to be estimated from distance on the Fuel tab.</t>
        </r>
      </text>
    </comment>
    <comment ref="D15" authorId="0" shapeId="0" xr:uid="{00000000-0006-0000-0100-000003000000}">
      <text>
        <r>
          <rPr>
            <sz val="10"/>
            <rFont val="Arial"/>
            <family val="2"/>
          </rPr>
          <t>Enter 1-40. Years beyond your chosen horizon are automatically zeroed out on the Calculation tab.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8" authorId="0" shapeId="0" xr:uid="{00000000-0006-0000-0200-000001000000}">
      <text>
        <r>
          <rPr>
            <sz val="10"/>
            <rFont val="Arial"/>
            <family val="2"/>
          </rPr>
          <t>Used only if fuel consumption is estimated from distance (set on the Fuel tab).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" authorId="0" shapeId="0" xr:uid="{00000000-0006-0000-0300-000001000000}">
      <text>
        <r>
          <rPr>
            <sz val="10"/>
            <rFont val="Arial"/>
            <family val="2"/>
          </rPr>
          <t>Applies to both corridors, since they share the same route. 'Distance' uses the corridor length and roundtrips/year from Cargo/Vessel tabs, and each vessel type's energy-per-nautical-mile benchmark.</t>
        </r>
      </text>
    </comment>
    <comment ref="D9" authorId="0" shapeId="0" xr:uid="{00000000-0006-0000-0300-000002000000}">
      <text>
        <r>
          <rPr>
            <sz val="10"/>
            <rFont val="Arial"/>
            <family val="2"/>
          </rPr>
          <t>Construct = build a new fuel production plant (CAPEX+OPEX below apply). Purchase = buy green fuel on the market (fuel-production CAPEX/OPEX are zeroed out).</t>
        </r>
      </text>
    </comment>
    <comment ref="D22" authorId="0" shapeId="0" xr:uid="{00000000-0006-0000-0300-000003000000}">
      <text>
        <r>
          <rPr>
            <sz val="10"/>
            <rFont val="Arial"/>
            <family val="2"/>
          </rPr>
          <t>Construct = build new fuel production capacity. Purchase (default) = conventional bunkering, no new plant.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7" authorId="0" shapeId="0" xr:uid="{00000000-0006-0000-0500-000001000000}">
      <text>
        <r>
          <rPr>
            <sz val="10"/>
            <rFont val="Arial"/>
            <family val="2"/>
          </rPr>
          <t>EUA traded ~€74-77/t in May 2026; 2026 average forecast ~€80-90/t. Update to current market price.</t>
        </r>
      </text>
    </comment>
    <comment ref="D8" authorId="0" shapeId="0" xr:uid="{00000000-0006-0000-0500-000002000000}">
      <text>
        <r>
          <rPr>
            <sz val="10"/>
            <rFont val="Arial"/>
            <family val="2"/>
          </rPr>
          <t>Update to the current EUR/USD rate.</t>
        </r>
      </text>
    </comment>
    <comment ref="D9" authorId="0" shapeId="0" xr:uid="{00000000-0006-0000-0500-000003000000}">
      <text>
        <r>
          <rPr>
            <sz val="10"/>
            <rFont val="Arial"/>
            <family val="2"/>
          </rPr>
          <t>100% for intra-EU/EEA voyages; 50% is the standard share for voyages between an EU and a non-EU port.</t>
        </r>
      </text>
    </comment>
    <comment ref="D15" authorId="0" shapeId="0" xr:uid="{00000000-0006-0000-0500-000004000000}">
      <text>
        <r>
          <rPr>
            <sz val="10"/>
            <rFont val="Arial"/>
            <family val="2"/>
          </rPr>
          <t>Fixed by FuelEU Maritime Regulation (EU) 2023/1805.</t>
        </r>
      </text>
    </comment>
    <comment ref="D16" authorId="0" shapeId="0" xr:uid="{00000000-0006-0000-0500-000005000000}">
      <text>
        <r>
          <rPr>
            <sz val="10"/>
            <rFont val="Arial"/>
            <family val="2"/>
          </rPr>
          <t>Fixed conversion constant used in the FuelEU penalty formula.</t>
        </r>
      </text>
    </comment>
    <comment ref="D18" authorId="0" shapeId="0" xr:uid="{00000000-0006-0000-0500-000006000000}">
      <text>
        <r>
          <rPr>
            <sz val="10"/>
            <rFont val="Arial"/>
            <family val="2"/>
          </rPr>
          <t>Broadly mirrors EU ETS voyage scope — 100% for intra-EU, 50% typical for one EU port leg.</t>
        </r>
      </text>
    </comment>
    <comment ref="D26" authorId="0" shapeId="0" xr:uid="{00000000-0006-0000-0500-000007000000}">
      <text>
        <r>
          <rPr>
            <sz val="10"/>
            <rFont val="Arial"/>
            <family val="2"/>
          </rPr>
          <t>Up to $1.00/gallon if wage &amp; apprenticeship requirements are met (base rate is $0.20/gallon otherwise). Currently legislated for fuel sold 2025-2027 — confirm current status.</t>
        </r>
      </text>
    </comment>
    <comment ref="D27" authorId="0" shapeId="0" xr:uid="{00000000-0006-0000-0500-000008000000}">
      <text>
        <r>
          <rPr>
            <sz val="10"/>
            <rFont val="Arial"/>
            <family val="2"/>
          </rPr>
          <t>Fixed conversion constant (116,090 Btu/gallon, per proposed IRS regulations).</t>
        </r>
      </text>
    </comment>
    <comment ref="D32" authorId="0" shapeId="0" xr:uid="{00000000-0006-0000-0500-000009000000}">
      <text>
        <r>
          <rPr>
            <sz val="10"/>
            <rFont val="Arial"/>
            <family val="2"/>
          </rPr>
          <t>Applied to both corridors' CO2 emissions, like a generic carbon price/tax.</t>
        </r>
      </text>
    </comment>
    <comment ref="D33" authorId="0" shapeId="0" xr:uid="{00000000-0006-0000-0500-00000A000000}">
      <text>
        <r>
          <rPr>
            <sz val="10"/>
            <rFont val="Arial"/>
            <family val="2"/>
          </rPr>
          <t>A subsidy per kg of green fuel consumed. Applies to the green corridor only.</t>
        </r>
      </text>
    </comment>
    <comment ref="D34" authorId="0" shapeId="0" xr:uid="{00000000-0006-0000-0500-00000B000000}">
      <text>
        <r>
          <rPr>
            <sz val="10"/>
            <rFont val="Arial"/>
            <family val="2"/>
          </rPr>
          <t>E.g. a capital grant. Applies to the green corridor's total year-1 CAPEX only.</t>
        </r>
      </text>
    </comment>
    <comment ref="D35" authorId="0" shapeId="0" xr:uid="{00000000-0006-0000-0500-00000C000000}">
      <text>
        <r>
          <rPr>
            <sz val="10"/>
            <rFont val="Arial"/>
            <family val="2"/>
          </rPr>
          <t>Applies to the green corridor's total OPEX each year.</t>
        </r>
      </text>
    </comment>
    <comment ref="D36" authorId="0" shapeId="0" xr:uid="{00000000-0006-0000-0500-00000D000000}">
      <text>
        <r>
          <rPr>
            <sz val="10"/>
            <rFont val="Arial"/>
            <family val="2"/>
          </rPr>
          <t>Placeholder for any other flat annual support not captured above.</t>
        </r>
      </text>
    </comment>
  </commentList>
</comments>
</file>

<file path=xl/sharedStrings.xml><?xml version="1.0" encoding="utf-8"?>
<sst xmlns="http://schemas.openxmlformats.org/spreadsheetml/2006/main" count="283" uniqueCount="224">
  <si>
    <t>Green Corridor Cost Model — Simplified</t>
  </si>
  <si>
    <t>HOW TO USE</t>
  </si>
  <si>
    <t>1. Fill in the blue cells across the Cargo, Vessel, Fuel, Port, and Regulation tabs — each covers one area of the model, mirroring how this will eventually work as a web form.
2. The 'Calculation' tab builds the year-by-year cost and discounts it automatically — no need to edit it.
3. Read the results on the 'Output' tab.</t>
  </si>
  <si>
    <t>FORMATTING CONVENTION</t>
  </si>
  <si>
    <t>Blue text = input cell (edit these). Black text = formula (do not overwrite).</t>
  </si>
  <si>
    <t>Cargo &amp; Corridor</t>
  </si>
  <si>
    <t>Corridor</t>
  </si>
  <si>
    <t>Country</t>
  </si>
  <si>
    <t>Denmark</t>
  </si>
  <si>
    <t>Corridor type</t>
  </si>
  <si>
    <t>Point-to-point</t>
  </si>
  <si>
    <t>Corridor name</t>
  </si>
  <si>
    <t>Introduce Corridor Name</t>
  </si>
  <si>
    <t>Port A</t>
  </si>
  <si>
    <t>Introduce Port A</t>
  </si>
  <si>
    <t>Port B</t>
  </si>
  <si>
    <t>Introduce Port B</t>
  </si>
  <si>
    <t>Corridor length, one-way (nautical miles)</t>
  </si>
  <si>
    <t>Timeline &amp; economics</t>
  </si>
  <si>
    <t>Model start year</t>
  </si>
  <si>
    <t>Number of years modelled (max 40)</t>
  </si>
  <si>
    <t>Annual cargo throughput (units/year)</t>
  </si>
  <si>
    <t>Discount rate (standard cost of capital)</t>
  </si>
  <si>
    <t>Benchmarked by Country above — override if you have a project-specific WACC</t>
  </si>
  <si>
    <t>Inflation rate</t>
  </si>
  <si>
    <t>Vessel</t>
  </si>
  <si>
    <t>Shared vessel choice, plus CAPEX/OPEX for the green and fossil vessel.</t>
  </si>
  <si>
    <t>Vessel selection (shared by both corridors)</t>
  </si>
  <si>
    <t>Tanker (35k dwt)</t>
  </si>
  <si>
    <t>Number of vessels</t>
  </si>
  <si>
    <t>Roundtrips per year (per vessel)</t>
  </si>
  <si>
    <t>Green vessel</t>
  </si>
  <si>
    <t>Your override</t>
  </si>
  <si>
    <t>Value used</t>
  </si>
  <si>
    <t>Benchmark</t>
  </si>
  <si>
    <t>CAPEX ($m, year 1, incl. green fuel-readiness premium)</t>
  </si>
  <si>
    <t>OPEX ($m/yr)</t>
  </si>
  <si>
    <t>Fossil vessel</t>
  </si>
  <si>
    <t>CAPEX ($m, year 1, baseline, no retrofit)</t>
  </si>
  <si>
    <t>Existing baseline vessel — override if a new-build fossil vessel is being compared</t>
  </si>
  <si>
    <t>Fuel</t>
  </si>
  <si>
    <t>Fuel choice, pricing, emissions, and fuel-production CAPEX/OPEX for each corridor.</t>
  </si>
  <si>
    <t>Estimate fuel consumption from</t>
  </si>
  <si>
    <t>Green fuel</t>
  </si>
  <si>
    <t>e-Ammonia</t>
  </si>
  <si>
    <t>Fuel sourcing: construct plant or purchase fuel?</t>
  </si>
  <si>
    <t>Construct</t>
  </si>
  <si>
    <t>Fuel price ($/tonne)</t>
  </si>
  <si>
    <t>CO2 emission factor, combustion (t CO2/t fuel)</t>
  </si>
  <si>
    <t>Energy density, LHV (MJ/tonne)</t>
  </si>
  <si>
    <t>GHG intensity, well-to-wake (gCO2eq/MJ)</t>
  </si>
  <si>
    <t>Used for FuelEU Maritime compliance — replace with your Proof of Sustainability value</t>
  </si>
  <si>
    <t>Fuel consumption (tonnes/vessel/year)</t>
  </si>
  <si>
    <t>Benchmark based on vessel type, or derived from distance if selected above</t>
  </si>
  <si>
    <t>Fuel production CAPEX ($m, year 1)</t>
  </si>
  <si>
    <t>Forced to 0 if 'Purchase' is selected above</t>
  </si>
  <si>
    <t>Fuel production O&amp;M, excl. fuel purchase ($m/yr)</t>
  </si>
  <si>
    <t>Fossil fuel</t>
  </si>
  <si>
    <t>LSFO (conventional)</t>
  </si>
  <si>
    <t>Purchase</t>
  </si>
  <si>
    <t>Carried through automatically from fuel type above — override if you have a specific value</t>
  </si>
  <si>
    <t>Same vessel-type/distance benchmark as green — override if the baseline vessel differs</t>
  </si>
  <si>
    <t>Forced to 0 if 'Purchase' is selected above (the default)</t>
  </si>
  <si>
    <t>Port</t>
  </si>
  <si>
    <t>Port storage and port barge CAPEX/OPEX for each corridor.</t>
  </si>
  <si>
    <t>Green port</t>
  </si>
  <si>
    <t>Port storage — CAPEX ($m, year 1)</t>
  </si>
  <si>
    <t>Port storage — OPEX ($m/yr)</t>
  </si>
  <si>
    <t>Port barge — CAPEX ($m, year 1)</t>
  </si>
  <si>
    <t>Port barge — OPEX ($m/yr)</t>
  </si>
  <si>
    <t>Fossil port</t>
  </si>
  <si>
    <t>Existing infrastructure assumed</t>
  </si>
  <si>
    <t>Assumed lower than a new green facility — override with your own figure</t>
  </si>
  <si>
    <t>Regulation</t>
  </si>
  <si>
    <t>Applied on top of the corridor costs. Each module can be switched off independently. Figures reflect known 2026 rules/market levels — always confirm current values before relying on results.</t>
  </si>
  <si>
    <t>4.1 EU ETS (Emissions Trading System)</t>
  </si>
  <si>
    <t>Include EU ETS?</t>
  </si>
  <si>
    <t>Yes</t>
  </si>
  <si>
    <t>EUA price (€/tonne CO2)</t>
  </si>
  <si>
    <t>EUR/USD exchange rate</t>
  </si>
  <si>
    <t>% of emissions subject to EU ETS</t>
  </si>
  <si>
    <t>Phase-in (applied automatically by calendar year): 40% in 2024, 70% in 2025, 100% from 2026</t>
  </si>
  <si>
    <t>4.2 FuelEU Maritime</t>
  </si>
  <si>
    <t>Include FuelEU Maritime?</t>
  </si>
  <si>
    <t>Penalty rate (€/tonne VLSFO-equivalent)</t>
  </si>
  <si>
    <t>VLSFO energy equivalence (MJ/tonne)</t>
  </si>
  <si>
    <t>GHG intensity reference value, 2020 baseline (gCO2eq/MJ)</t>
  </si>
  <si>
    <t>% of energy subject to FuelEU Maritime</t>
  </si>
  <si>
    <t>Target reduction vs baseline (applied automatically by calendar year):</t>
  </si>
  <si>
    <t>2025: -2%   2030: -6%   2035: -14.5%   2040: -31%   2045: -62%   2050: -80%</t>
  </si>
  <si>
    <t>4.3 IRA Section 45Z Clean Fuel Production Credit (US)</t>
  </si>
  <si>
    <t>Include IRA 45Z credit?</t>
  </si>
  <si>
    <t>No</t>
  </si>
  <si>
    <t>Is the green fuel produced in the US?</t>
  </si>
  <si>
    <t>Credit rate ($/gallon-equivalent)</t>
  </si>
  <si>
    <t>Gasoline-gallon-equivalent energy content (MJ/gallon)</t>
  </si>
  <si>
    <t>4.4 Self-designed regulation</t>
  </si>
  <si>
    <t>Use this for a country-specific scheme not covered above (e.g. a national carbon price or clean fuel subsidy). All figures assumed to already be in USD.</t>
  </si>
  <si>
    <t>Include self-designed regulation?</t>
  </si>
  <si>
    <t>CO2 price ($/tonne CO2)</t>
  </si>
  <si>
    <t>H2-based fuel support ($/kg green fuel)</t>
  </si>
  <si>
    <t>CAPEX support (% of green CAPEX covered)</t>
  </si>
  <si>
    <t>OPEX support (% of green OPEX covered)</t>
  </si>
  <si>
    <t>Other support ($m/year, green corridor)</t>
  </si>
  <si>
    <t>Calculation</t>
  </si>
  <si>
    <t>This sheet builds automatically from the Cargo/Vessel/Fuel/Port/Regulation tabs. No need to edit anything here.</t>
  </si>
  <si>
    <t>Timeline</t>
  </si>
  <si>
    <t>Year #</t>
  </si>
  <si>
    <t>Calendar year</t>
  </si>
  <si>
    <t>Green = year used in the model, red = beyond the modelled horizon.</t>
  </si>
  <si>
    <t>Green Corridor</t>
  </si>
  <si>
    <t>Fuel: CAPEX (fuel production, $m)</t>
  </si>
  <si>
    <t>Fuel: OPEX (purchase + O&amp;M, $m)</t>
  </si>
  <si>
    <t>Port storage: CAPEX ($m)</t>
  </si>
  <si>
    <t>Port storage: OPEX ($m)</t>
  </si>
  <si>
    <t>Port barge: CAPEX ($m)</t>
  </si>
  <si>
    <t>Port barge: OPEX ($m)</t>
  </si>
  <si>
    <t>Vessel: CAPEX ($m)</t>
  </si>
  <si>
    <t>Vessel: OPEX ($m)</t>
  </si>
  <si>
    <t>Total CAPEX ($m)</t>
  </si>
  <si>
    <t>Total OPEX ($m)</t>
  </si>
  <si>
    <t>EU ETS cost ($m)</t>
  </si>
  <si>
    <t>FuelEU Maritime cost ($m)</t>
  </si>
  <si>
    <t>IRA 45Z credit ($m)</t>
  </si>
  <si>
    <t>Self-designed regulation ($m)</t>
  </si>
  <si>
    <t>Total cost ($m)</t>
  </si>
  <si>
    <t>Discount factor</t>
  </si>
  <si>
    <t>PV of cost ($m)</t>
  </si>
  <si>
    <t>Fossil Corridor</t>
  </si>
  <si>
    <t>Cargo &amp; Emissions</t>
  </si>
  <si>
    <t>Cargo throughput (units)</t>
  </si>
  <si>
    <t>CO2 abated (tonnes)</t>
  </si>
  <si>
    <t>Summary (lifetime, NPV)</t>
  </si>
  <si>
    <t>Total PV cost — Green corridor ($m)</t>
  </si>
  <si>
    <t>Total PV cost — Fossil corridor ($m)</t>
  </si>
  <si>
    <t xml:space="preserve">  of which: EU ETS (green)</t>
  </si>
  <si>
    <t xml:space="preserve">  of which: FuelEU Maritime (green)</t>
  </si>
  <si>
    <t xml:space="preserve">  of which: IRA 45Z credit (green)</t>
  </si>
  <si>
    <t xml:space="preserve">  of which: Self-designed (green)</t>
  </si>
  <si>
    <t xml:space="preserve">  of which: EU ETS (fossil)</t>
  </si>
  <si>
    <t xml:space="preserve">  of which: FuelEU Maritime (fossil)</t>
  </si>
  <si>
    <t xml:space="preserve">  of which: Self-designed (fossil)</t>
  </si>
  <si>
    <t>Incremental cost gap, PV ($m)</t>
  </si>
  <si>
    <t>Total cargo units over lifetime</t>
  </si>
  <si>
    <t>Total CO2 abated over lifetime (tonnes)</t>
  </si>
  <si>
    <t>Green corridor — CAPEX (PV, $m)</t>
  </si>
  <si>
    <t>Green corridor — OPEX (PV, $m)</t>
  </si>
  <si>
    <t>Fossil corridor — CAPEX (PV, $m)</t>
  </si>
  <si>
    <t>Fossil corridor — OPEX (PV, $m)</t>
  </si>
  <si>
    <t>Output</t>
  </si>
  <si>
    <t>Corridor:</t>
  </si>
  <si>
    <t>Country / Type:</t>
  </si>
  <si>
    <t>Cost summary (net present value)</t>
  </si>
  <si>
    <t>Total cost, Green corridor ($m, PV)</t>
  </si>
  <si>
    <t>Total cost, Fossil corridor ($m, PV)</t>
  </si>
  <si>
    <t>Incremental cost gap ($m, PV)</t>
  </si>
  <si>
    <t>Green cost minus fossil cost — the gap a green premium or public support would need to close</t>
  </si>
  <si>
    <t>Regulatory impact (net present value)</t>
  </si>
  <si>
    <t>EU ETS cost — Green corridor ($m, PV)</t>
  </si>
  <si>
    <t>FuelEU Maritime cost — Green corridor ($m, PV)</t>
  </si>
  <si>
    <t>IRA 45Z credit — Green corridor ($m, PV)</t>
  </si>
  <si>
    <t>Negative = a subsidy reducing green corridor cost</t>
  </si>
  <si>
    <t>Self-designed regulation — Green corridor ($m, PV)</t>
  </si>
  <si>
    <t>EU ETS cost — Fossil corridor ($m, PV)</t>
  </si>
  <si>
    <t>FuelEU Maritime cost — Fossil corridor ($m, PV)</t>
  </si>
  <si>
    <t>Self-designed regulation — Fossil corridor ($m, PV)</t>
  </si>
  <si>
    <t>Net regulatory effect on the cost gap ($m, PV)</t>
  </si>
  <si>
    <t>Negative = regulation narrows the green-fossil gap</t>
  </si>
  <si>
    <t>Unit economics</t>
  </si>
  <si>
    <t>Incremental cost per unit of cargo ($/unit)</t>
  </si>
  <si>
    <t>Sustainability</t>
  </si>
  <si>
    <t>CO2 abated over lifetime (tonnes)</t>
  </si>
  <si>
    <t>Cost per tonne of CO2 abated ($/tCO2)</t>
  </si>
  <si>
    <t>Cost bridge: Fossil corridor -&gt; Green corridor (NPV, $m)</t>
  </si>
  <si>
    <t>Category</t>
  </si>
  <si>
    <t>Delta ($m)</t>
  </si>
  <si>
    <t>Running start</t>
  </si>
  <si>
    <t>Running end</t>
  </si>
  <si>
    <t>Base (hidden)</t>
  </si>
  <si>
    <t>Increase</t>
  </si>
  <si>
    <t>Decrease</t>
  </si>
  <si>
    <t>Total</t>
  </si>
  <si>
    <t>Fossil corridor cost</t>
  </si>
  <si>
    <t>CAPEX</t>
  </si>
  <si>
    <t>OPEX</t>
  </si>
  <si>
    <t>Regulations (EU ETS + FuelEU + IRA 45Z + self-designed)</t>
  </si>
  <si>
    <t>Green corridor cost</t>
  </si>
  <si>
    <t>Base (column F) is a hidden helper series so bars float. Increase/Decrease are determined purely by each step's sign (column C).</t>
  </si>
  <si>
    <t>Data tables — planning-level benchmarks</t>
  </si>
  <si>
    <t>Vessel Benchmarks</t>
  </si>
  <si>
    <t>Vessel Type</t>
  </si>
  <si>
    <t>Vessel CAPEX ($m)</t>
  </si>
  <si>
    <t>Vessel OPEX, non-fuel ($m/yr)</t>
  </si>
  <si>
    <t>Energy consumed per NM traveled (GJ/nm)</t>
  </si>
  <si>
    <t>Tanker (80k dwt)</t>
  </si>
  <si>
    <t>Bulk carrier (60k dwt)</t>
  </si>
  <si>
    <t>Container (5k TEU)</t>
  </si>
  <si>
    <t>Container (15k TEU)</t>
  </si>
  <si>
    <t>Ro-Ro / Ferry</t>
  </si>
  <si>
    <t>Fuel Benchmarks</t>
  </si>
  <si>
    <t>Fuel Type</t>
  </si>
  <si>
    <t>Price ($/tonne)</t>
  </si>
  <si>
    <t>CO2 emission factor (t/t)</t>
  </si>
  <si>
    <t>Fuel production CAPEX ($m)</t>
  </si>
  <si>
    <t>Fuel production OPEX ($m/yr)</t>
  </si>
  <si>
    <t>Port storage CAPEX ($m)</t>
  </si>
  <si>
    <t>Port storage OPEX ($m/yr)</t>
  </si>
  <si>
    <t>Port barge CAPEX ($m)</t>
  </si>
  <si>
    <t>Port barge OPEX ($m/yr)</t>
  </si>
  <si>
    <t>Vessel CAPEX premium (%)</t>
  </si>
  <si>
    <t>LNG</t>
  </si>
  <si>
    <t>e-Methanol</t>
  </si>
  <si>
    <t>Biodiesel / HVO</t>
  </si>
  <si>
    <t>Hydrogen (liquid)</t>
  </si>
  <si>
    <t>Country Benchmarks</t>
  </si>
  <si>
    <t>Discount rate, WACC (%)</t>
  </si>
  <si>
    <t>Netherlands</t>
  </si>
  <si>
    <t>India</t>
  </si>
  <si>
    <t>Brazil</t>
  </si>
  <si>
    <t>Singapore</t>
  </si>
  <si>
    <t>United States</t>
  </si>
  <si>
    <t>Other (edit manually)</t>
  </si>
  <si>
    <t>Illustrative country risk-premium benchmarks, not a verified source — replace with your own project finance / country-risk data.</t>
  </si>
  <si>
    <t>Distance (nautical 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</si>
</sst>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0.000"/>
  </numFmts>
  <fonts count="12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sz val="10"/>
      <color rgb="FF000000"/>
      <name val="Arial"/>
      <charset val="1"/>
    </font>
    <font>
      <i/>
      <sz val="9"/>
      <color rgb="FF808080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b/>
      <sz val="11"/>
      <color rgb="FFFFFFFF"/>
      <name val="Arial"/>
      <charset val="1"/>
    </font>
    <font>
      <i/>
      <sz val="8"/>
      <color rgb="FF80808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CC"/>
      </patternFill>
    </fill>
    <fill>
      <patternFill patternType="solid">
        <fgColor rgb="FFBDD7EE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8" fillId="5" borderId="0" xfId="0" applyFont="1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5" fillId="3" borderId="0" xfId="0" applyFont="1" applyFill="1"/>
    <xf numFmtId="0" fontId="6" fillId="3" borderId="0" xfId="0" applyFont="1" applyFill="1"/>
    <xf numFmtId="3" fontId="6" fillId="3" borderId="0" xfId="0" applyNumberFormat="1" applyFont="1" applyFill="1"/>
    <xf numFmtId="1" fontId="6" fillId="3" borderId="0" xfId="0" applyNumberFormat="1" applyFont="1" applyFill="1"/>
    <xf numFmtId="164" fontId="6" fillId="3" borderId="0" xfId="0" applyNumberFormat="1" applyFont="1" applyFill="1"/>
    <xf numFmtId="164" fontId="3" fillId="0" borderId="0" xfId="0" applyNumberFormat="1" applyFont="1"/>
    <xf numFmtId="164" fontId="3" fillId="4" borderId="0" xfId="0" applyNumberFormat="1" applyFont="1" applyFill="1"/>
    <xf numFmtId="0" fontId="9" fillId="0" borderId="0" xfId="0" applyFont="1"/>
    <xf numFmtId="165" fontId="6" fillId="3" borderId="0" xfId="0" applyNumberFormat="1" applyFont="1" applyFill="1"/>
    <xf numFmtId="165" fontId="3" fillId="0" borderId="0" xfId="0" applyNumberFormat="1" applyFont="1"/>
    <xf numFmtId="165" fontId="3" fillId="4" borderId="0" xfId="0" applyNumberFormat="1" applyFont="1" applyFill="1"/>
    <xf numFmtId="3" fontId="3" fillId="0" borderId="0" xfId="0" applyNumberFormat="1" applyFont="1"/>
    <xf numFmtId="3" fontId="3" fillId="4" borderId="0" xfId="0" applyNumberFormat="1" applyFont="1" applyFill="1"/>
    <xf numFmtId="2" fontId="6" fillId="3" borderId="0" xfId="0" applyNumberFormat="1" applyFont="1" applyFill="1"/>
    <xf numFmtId="2" fontId="3" fillId="0" borderId="0" xfId="0" applyNumberFormat="1" applyFont="1"/>
    <xf numFmtId="2" fontId="3" fillId="4" borderId="0" xfId="0" applyNumberFormat="1" applyFont="1" applyFill="1"/>
    <xf numFmtId="166" fontId="6" fillId="3" borderId="0" xfId="0" applyNumberFormat="1" applyFont="1" applyFill="1"/>
    <xf numFmtId="166" fontId="3" fillId="0" borderId="0" xfId="0" applyNumberFormat="1" applyFont="1"/>
    <xf numFmtId="166" fontId="3" fillId="4" borderId="0" xfId="0" applyNumberFormat="1" applyFont="1" applyFill="1"/>
    <xf numFmtId="0" fontId="6" fillId="6" borderId="0" xfId="0" applyFont="1" applyFill="1"/>
    <xf numFmtId="3" fontId="6" fillId="6" borderId="0" xfId="0" applyNumberFormat="1" applyFont="1" applyFill="1"/>
    <xf numFmtId="2" fontId="6" fillId="6" borderId="0" xfId="0" applyNumberFormat="1" applyFont="1" applyFill="1"/>
    <xf numFmtId="9" fontId="6" fillId="6" borderId="0" xfId="0" applyNumberFormat="1" applyFont="1" applyFill="1"/>
    <xf numFmtId="166" fontId="6" fillId="6" borderId="0" xfId="0" applyNumberFormat="1" applyFont="1" applyFill="1"/>
    <xf numFmtId="165" fontId="6" fillId="6" borderId="0" xfId="0" applyNumberFormat="1" applyFont="1" applyFill="1"/>
    <xf numFmtId="0" fontId="10" fillId="0" borderId="0" xfId="0" applyFont="1"/>
    <xf numFmtId="0" fontId="10" fillId="2" borderId="0" xfId="0" applyFont="1" applyFill="1" applyAlignment="1">
      <alignment horizontal="center"/>
    </xf>
    <xf numFmtId="1" fontId="10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165" fontId="11" fillId="0" borderId="0" xfId="0" applyNumberFormat="1" applyFont="1"/>
    <xf numFmtId="165" fontId="0" fillId="0" borderId="0" xfId="0" applyNumberFormat="1"/>
    <xf numFmtId="165" fontId="10" fillId="0" borderId="0" xfId="0" applyNumberFormat="1" applyFont="1"/>
    <xf numFmtId="167" fontId="11" fillId="0" borderId="0" xfId="0" applyNumberFormat="1" applyFont="1"/>
    <xf numFmtId="3" fontId="11" fillId="0" borderId="0" xfId="0" applyNumberFormat="1" applyFont="1"/>
    <xf numFmtId="0" fontId="10" fillId="7" borderId="0" xfId="0" applyFont="1" applyFill="1"/>
    <xf numFmtId="165" fontId="10" fillId="7" borderId="0" xfId="0" applyNumberFormat="1" applyFont="1" applyFill="1"/>
    <xf numFmtId="3" fontId="10" fillId="0" borderId="0" xfId="0" applyNumberFormat="1" applyFont="1"/>
    <xf numFmtId="0" fontId="11" fillId="0" borderId="0" xfId="0" applyFont="1" applyAlignment="1">
      <alignment vertical="top" wrapText="1"/>
    </xf>
    <xf numFmtId="165" fontId="9" fillId="0" borderId="0" xfId="0" applyNumberFormat="1" applyFont="1"/>
    <xf numFmtId="0" fontId="10" fillId="2" borderId="0" xfId="0" applyFont="1" applyFill="1"/>
    <xf numFmtId="166" fontId="11" fillId="0" borderId="0" xfId="0" applyNumberFormat="1" applyFont="1"/>
    <xf numFmtId="0" fontId="10" fillId="2" borderId="0" xfId="0" applyFont="1" applyFill="1" applyAlignment="1">
      <alignment wrapText="1"/>
    </xf>
    <xf numFmtId="4" fontId="11" fillId="0" borderId="0" xfId="0" applyNumberFormat="1" applyFont="1"/>
    <xf numFmtId="9" fontId="11" fillId="0" borderId="0" xfId="0" applyNumberFormat="1" applyFont="1"/>
    <xf numFmtId="3" fontId="0" fillId="0" borderId="0" xfId="0" applyNumberFormat="1"/>
    <xf numFmtId="166" fontId="0" fillId="0" borderId="0" xfId="0" applyNumberFormat="1"/>
    <xf numFmtId="164" fontId="11" fillId="0" borderId="0" xfId="0" applyNumberFormat="1" applyFont="1"/>
    <xf numFmtId="0" fontId="8" fillId="5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rgb="FFFCE4D6"/>
        </patternFill>
      </fill>
    </dxf>
    <dxf>
      <fill>
        <patternFill>
          <bgColor rgb="FFE2EFDA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006100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3B3B3"/>
      <rgbColor rgb="FF808080"/>
      <rgbColor rgb="FF5B9BD5"/>
      <rgbColor rgb="FF7030A0"/>
      <rgbColor rgb="FFFFFF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2CC"/>
      <rgbColor rgb="FFD9D9D9"/>
      <rgbColor rgb="FFF4B183"/>
      <rgbColor rgb="FFFCE4D6"/>
      <rgbColor rgb="FFFFC7CE"/>
      <rgbColor rgb="FF4472C4"/>
      <rgbColor rgb="FF33CCCC"/>
      <rgbColor rgb="FF99CC00"/>
      <rgbColor rgb="FFFFCC00"/>
      <rgbColor rgb="FFBF90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Cost bridge: Fossil corridor -&gt; Green corridor (NPV, 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Output!$F$35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Output!$B$36:$B$40</c:f>
              <c:strCache>
                <c:ptCount val="5"/>
                <c:pt idx="0">
                  <c:v>Fossil corridor cost</c:v>
                </c:pt>
                <c:pt idx="1">
                  <c:v>CAPEX</c:v>
                </c:pt>
                <c:pt idx="2">
                  <c:v>OPEX</c:v>
                </c:pt>
                <c:pt idx="3">
                  <c:v>Regulations (EU ETS + FuelEU + IRA 45Z + self-designed)</c:v>
                </c:pt>
                <c:pt idx="4">
                  <c:v>Green corridor cost</c:v>
                </c:pt>
              </c:strCache>
            </c:strRef>
          </c:cat>
          <c:val>
            <c:numRef>
              <c:f>Output!$F$36:$F$40</c:f>
              <c:numCache>
                <c:formatCode>#,##0.0</c:formatCode>
                <c:ptCount val="5"/>
                <c:pt idx="0">
                  <c:v>0</c:v>
                </c:pt>
                <c:pt idx="1">
                  <c:v>38.64457155477502</c:v>
                </c:pt>
                <c:pt idx="2">
                  <c:v>135.64457155477501</c:v>
                </c:pt>
                <c:pt idx="3">
                  <c:v>205.59516274382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A-4891-BE60-0FD6D1A618F5}"/>
            </c:ext>
          </c:extLst>
        </c:ser>
        <c:ser>
          <c:idx val="1"/>
          <c:order val="1"/>
          <c:tx>
            <c:strRef>
              <c:f>Output!$G$35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Output!$B$36:$B$40</c:f>
              <c:strCache>
                <c:ptCount val="5"/>
                <c:pt idx="0">
                  <c:v>Fossil corridor cost</c:v>
                </c:pt>
                <c:pt idx="1">
                  <c:v>CAPEX</c:v>
                </c:pt>
                <c:pt idx="2">
                  <c:v>OPEX</c:v>
                </c:pt>
                <c:pt idx="3">
                  <c:v>Regulations (EU ETS + FuelEU + IRA 45Z + self-designed)</c:v>
                </c:pt>
                <c:pt idx="4">
                  <c:v>Green corridor cost</c:v>
                </c:pt>
              </c:strCache>
            </c:strRef>
          </c:cat>
          <c:val>
            <c:numRef>
              <c:f>Output!$G$36:$G$40</c:f>
              <c:numCache>
                <c:formatCode>#,##0.0</c:formatCode>
                <c:ptCount val="5"/>
                <c:pt idx="0">
                  <c:v>0</c:v>
                </c:pt>
                <c:pt idx="1">
                  <c:v>97</c:v>
                </c:pt>
                <c:pt idx="2">
                  <c:v>80.072778335373215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A-4891-BE60-0FD6D1A618F5}"/>
            </c:ext>
          </c:extLst>
        </c:ser>
        <c:ser>
          <c:idx val="2"/>
          <c:order val="2"/>
          <c:tx>
            <c:strRef>
              <c:f>Output!$H$35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Output!$B$36:$B$40</c:f>
              <c:strCache>
                <c:ptCount val="5"/>
                <c:pt idx="0">
                  <c:v>Fossil corridor cost</c:v>
                </c:pt>
                <c:pt idx="1">
                  <c:v>CAPEX</c:v>
                </c:pt>
                <c:pt idx="2">
                  <c:v>OPEX</c:v>
                </c:pt>
                <c:pt idx="3">
                  <c:v>Regulations (EU ETS + FuelEU + IRA 45Z + self-designed)</c:v>
                </c:pt>
                <c:pt idx="4">
                  <c:v>Green corridor cost</c:v>
                </c:pt>
              </c:strCache>
            </c:strRef>
          </c:cat>
          <c:val>
            <c:numRef>
              <c:f>Output!$H$36:$H$40</c:f>
              <c:numCache>
                <c:formatCode>#,##0.0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10.122187146328221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A-4891-BE60-0FD6D1A618F5}"/>
            </c:ext>
          </c:extLst>
        </c:ser>
        <c:ser>
          <c:idx val="3"/>
          <c:order val="3"/>
          <c:tx>
            <c:strRef>
              <c:f>Output!$I$35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Output!$B$36:$B$40</c:f>
              <c:strCache>
                <c:ptCount val="5"/>
                <c:pt idx="0">
                  <c:v>Fossil corridor cost</c:v>
                </c:pt>
                <c:pt idx="1">
                  <c:v>CAPEX</c:v>
                </c:pt>
                <c:pt idx="2">
                  <c:v>OPEX</c:v>
                </c:pt>
                <c:pt idx="3">
                  <c:v>Regulations (EU ETS + FuelEU + IRA 45Z + self-designed)</c:v>
                </c:pt>
                <c:pt idx="4">
                  <c:v>Green corridor cost</c:v>
                </c:pt>
              </c:strCache>
            </c:strRef>
          </c:cat>
          <c:val>
            <c:numRef>
              <c:f>Output!$I$36:$I$40</c:f>
              <c:numCache>
                <c:formatCode>#,##0.0</c:formatCode>
                <c:ptCount val="5"/>
                <c:pt idx="0">
                  <c:v>38.64457155477502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205.59516274382005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2A-4891-BE60-0FD6D1A61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88252224"/>
        <c:axId val="2809966"/>
      </c:barChart>
      <c:catAx>
        <c:axId val="88252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9966"/>
        <c:crosses val="autoZero"/>
        <c:auto val="1"/>
        <c:lblAlgn val="ctr"/>
        <c:lblOffset val="100"/>
        <c:noMultiLvlLbl val="0"/>
      </c:catAx>
      <c:valAx>
        <c:axId val="28099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$m (NPV)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2522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52917</xdr:colOff>
      <xdr:row>23</xdr:row>
      <xdr:rowOff>127001</xdr:rowOff>
    </xdr:from>
    <xdr:to>
      <xdr:col>24</xdr:col>
      <xdr:colOff>58676</xdr:colOff>
      <xdr:row>40</xdr:row>
      <xdr:rowOff>137227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B2:B8"/>
  <sheetViews>
    <sheetView showGridLines="0" zoomScaleNormal="100" workbookViewId="0">
      <selection activeCell="D13" sqref="D13"/>
    </sheetView>
  </sheetViews>
  <sheetFormatPr defaultColWidth="8.59765625" defaultRowHeight="14.25" x14ac:dyDescent="0.45"/>
  <cols>
    <col min="1" max="1" width="3" customWidth="1"/>
    <col min="2" max="2" width="100" customWidth="1"/>
  </cols>
  <sheetData>
    <row r="2" spans="2:2" ht="17.25" customHeight="1" x14ac:dyDescent="0.5">
      <c r="B2" s="3" t="s">
        <v>0</v>
      </c>
    </row>
    <row r="4" spans="2:2" ht="15" customHeight="1" x14ac:dyDescent="0.45">
      <c r="B4" s="4" t="s">
        <v>1</v>
      </c>
    </row>
    <row r="5" spans="2:2" ht="79.5" customHeight="1" x14ac:dyDescent="0.45">
      <c r="B5" s="5" t="s">
        <v>2</v>
      </c>
    </row>
    <row r="7" spans="2:2" ht="15" customHeight="1" x14ac:dyDescent="0.45">
      <c r="B7" s="4" t="s">
        <v>3</v>
      </c>
    </row>
    <row r="8" spans="2:2" ht="15" customHeight="1" x14ac:dyDescent="0.45">
      <c r="B8" s="6" t="s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9000"/>
  </sheetPr>
  <dimension ref="B2:G18"/>
  <sheetViews>
    <sheetView showGridLines="0" zoomScaleNormal="100" workbookViewId="0">
      <selection activeCell="B3" sqref="B3"/>
    </sheetView>
  </sheetViews>
  <sheetFormatPr defaultColWidth="8.6640625" defaultRowHeight="14.25" x14ac:dyDescent="0.45"/>
  <cols>
    <col min="1" max="1" width="3" customWidth="1"/>
    <col min="2" max="2" width="42" customWidth="1"/>
    <col min="3" max="3" width="20" customWidth="1"/>
    <col min="4" max="4" width="16" customWidth="1"/>
    <col min="5" max="6" width="14" customWidth="1"/>
    <col min="7" max="7" width="50" customWidth="1"/>
  </cols>
  <sheetData>
    <row r="2" spans="2:4" ht="17.25" customHeight="1" x14ac:dyDescent="0.5">
      <c r="B2" s="3" t="s">
        <v>5</v>
      </c>
    </row>
    <row r="3" spans="2:4" ht="15" customHeight="1" x14ac:dyDescent="0.45">
      <c r="B3" s="7"/>
    </row>
    <row r="5" spans="2:4" ht="15" customHeight="1" x14ac:dyDescent="0.45">
      <c r="B5" s="8" t="s">
        <v>6</v>
      </c>
    </row>
    <row r="6" spans="2:4" ht="15" customHeight="1" x14ac:dyDescent="0.45">
      <c r="B6" s="6" t="s">
        <v>7</v>
      </c>
      <c r="D6" s="9" t="s">
        <v>8</v>
      </c>
    </row>
    <row r="7" spans="2:4" ht="15" customHeight="1" x14ac:dyDescent="0.45">
      <c r="B7" s="6" t="s">
        <v>9</v>
      </c>
      <c r="D7" s="9" t="s">
        <v>10</v>
      </c>
    </row>
    <row r="8" spans="2:4" ht="15" customHeight="1" x14ac:dyDescent="0.45">
      <c r="B8" s="6" t="s">
        <v>11</v>
      </c>
      <c r="D8" s="9" t="s">
        <v>12</v>
      </c>
    </row>
    <row r="9" spans="2:4" ht="15" customHeight="1" x14ac:dyDescent="0.45">
      <c r="B9" s="6" t="s">
        <v>13</v>
      </c>
      <c r="D9" s="10" t="s">
        <v>14</v>
      </c>
    </row>
    <row r="10" spans="2:4" ht="15" customHeight="1" x14ac:dyDescent="0.45">
      <c r="B10" s="6" t="s">
        <v>15</v>
      </c>
      <c r="D10" s="10" t="s">
        <v>16</v>
      </c>
    </row>
    <row r="11" spans="2:4" ht="15" customHeight="1" x14ac:dyDescent="0.45">
      <c r="B11" s="6" t="s">
        <v>17</v>
      </c>
      <c r="D11" s="11">
        <v>500</v>
      </c>
    </row>
    <row r="13" spans="2:4" ht="15" customHeight="1" x14ac:dyDescent="0.45">
      <c r="B13" s="8" t="s">
        <v>18</v>
      </c>
    </row>
    <row r="14" spans="2:4" ht="15" customHeight="1" x14ac:dyDescent="0.45">
      <c r="B14" s="6" t="s">
        <v>19</v>
      </c>
      <c r="D14" s="12">
        <v>2027</v>
      </c>
    </row>
    <row r="15" spans="2:4" ht="15" customHeight="1" x14ac:dyDescent="0.45">
      <c r="B15" s="6" t="s">
        <v>20</v>
      </c>
      <c r="D15" s="12">
        <v>20</v>
      </c>
    </row>
    <row r="16" spans="2:4" ht="15" customHeight="1" x14ac:dyDescent="0.45">
      <c r="B16" s="6" t="s">
        <v>21</v>
      </c>
      <c r="D16" s="11">
        <v>22167</v>
      </c>
    </row>
    <row r="17" spans="2:7" ht="15" customHeight="1" x14ac:dyDescent="0.45">
      <c r="B17" s="6" t="s">
        <v>22</v>
      </c>
      <c r="D17" s="13"/>
      <c r="E17" s="14">
        <f>IF(D17="",F17,D17)</f>
        <v>5.5E-2</v>
      </c>
      <c r="F17" s="15">
        <f>INDEX(Data_tables!$C$25:$C$31,MATCH($D$6,Data_tables!$B$25:$B$31,0))</f>
        <v>5.5E-2</v>
      </c>
      <c r="G17" s="7" t="s">
        <v>23</v>
      </c>
    </row>
    <row r="18" spans="2:7" ht="15" customHeight="1" x14ac:dyDescent="0.45">
      <c r="B18" s="6" t="s">
        <v>24</v>
      </c>
      <c r="D18" s="13">
        <v>0.02</v>
      </c>
    </row>
  </sheetData>
  <dataValidations count="1">
    <dataValidation type="list" sqref="D7" xr:uid="{00000000-0002-0000-0100-000001000000}">
      <formula1>"Single point,Point-to-point,Network"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Data_tables!$B$25:$B$31</xm:f>
          </x14:formula1>
          <x14:formula2>
            <xm:f>0</xm:f>
          </x14:formula2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B2:G19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3" width="20" customWidth="1"/>
    <col min="4" max="4" width="16" customWidth="1"/>
    <col min="5" max="6" width="14" customWidth="1"/>
    <col min="7" max="7" width="50" customWidth="1"/>
  </cols>
  <sheetData>
    <row r="2" spans="2:7" ht="17.25" customHeight="1" x14ac:dyDescent="0.5">
      <c r="B2" s="3" t="s">
        <v>25</v>
      </c>
    </row>
    <row r="3" spans="2:7" ht="15" customHeight="1" x14ac:dyDescent="0.45">
      <c r="B3" s="7" t="s">
        <v>26</v>
      </c>
    </row>
    <row r="5" spans="2:7" ht="15" customHeight="1" x14ac:dyDescent="0.45">
      <c r="B5" s="8" t="s">
        <v>27</v>
      </c>
    </row>
    <row r="6" spans="2:7" ht="15" customHeight="1" x14ac:dyDescent="0.45">
      <c r="D6" s="9" t="s">
        <v>28</v>
      </c>
    </row>
    <row r="7" spans="2:7" ht="15" customHeight="1" x14ac:dyDescent="0.45">
      <c r="B7" s="6" t="s">
        <v>29</v>
      </c>
      <c r="D7" s="12">
        <v>1</v>
      </c>
    </row>
    <row r="8" spans="2:7" ht="15" customHeight="1" x14ac:dyDescent="0.45">
      <c r="B8" s="6" t="s">
        <v>30</v>
      </c>
      <c r="D8" s="11">
        <v>12</v>
      </c>
    </row>
    <row r="9" spans="2:7" ht="18" customHeight="1" x14ac:dyDescent="0.45">
      <c r="B9" s="2" t="s">
        <v>31</v>
      </c>
      <c r="C9" s="2"/>
      <c r="D9" s="2"/>
      <c r="E9" s="2"/>
      <c r="F9" s="2"/>
      <c r="G9" s="2"/>
    </row>
    <row r="11" spans="2:7" ht="15" customHeight="1" x14ac:dyDescent="0.45">
      <c r="D11" s="16" t="s">
        <v>32</v>
      </c>
      <c r="E11" s="16" t="s">
        <v>33</v>
      </c>
      <c r="F11" s="16" t="s">
        <v>34</v>
      </c>
    </row>
    <row r="12" spans="2:7" ht="15" customHeight="1" x14ac:dyDescent="0.45">
      <c r="B12" s="6" t="s">
        <v>35</v>
      </c>
      <c r="D12" s="17"/>
      <c r="E12" s="18">
        <f>IF(D12="",F12,D12)</f>
        <v>25</v>
      </c>
      <c r="F12" s="19">
        <f>INDEX(Data_tables!$C$6:$C$11,MATCH($D$6,Data_tables!$B$6:$B$11,0))*(1+INDEX(Data_tables!$K$15:$K$20,MATCH(Fuel!$D$8,Data_tables!$B$15:$B$20,0)))</f>
        <v>25</v>
      </c>
    </row>
    <row r="13" spans="2:7" ht="15" customHeight="1" x14ac:dyDescent="0.45">
      <c r="B13" s="6" t="s">
        <v>36</v>
      </c>
      <c r="D13" s="17"/>
      <c r="E13" s="18">
        <f>IF(D13="",F13,D13)</f>
        <v>1.2</v>
      </c>
      <c r="F13" s="19">
        <f>INDEX(Data_tables!$D$6:$D$11,MATCH($D$6,Data_tables!$B$6:$B$11,0))</f>
        <v>1.2</v>
      </c>
    </row>
    <row r="15" spans="2:7" ht="18" customHeight="1" x14ac:dyDescent="0.45">
      <c r="B15" s="2" t="s">
        <v>37</v>
      </c>
      <c r="C15" s="2"/>
      <c r="D15" s="2"/>
      <c r="E15" s="2"/>
      <c r="F15" s="2"/>
      <c r="G15" s="2"/>
    </row>
    <row r="17" spans="2:7" ht="15" customHeight="1" x14ac:dyDescent="0.45">
      <c r="D17" s="16" t="s">
        <v>32</v>
      </c>
      <c r="E17" s="16" t="s">
        <v>33</v>
      </c>
      <c r="F17" s="16" t="s">
        <v>34</v>
      </c>
    </row>
    <row r="18" spans="2:7" ht="15" customHeight="1" x14ac:dyDescent="0.45">
      <c r="B18" s="6" t="s">
        <v>38</v>
      </c>
      <c r="D18" s="17"/>
      <c r="E18" s="18">
        <f>IF(D18="",F18,D18)</f>
        <v>0</v>
      </c>
      <c r="F18" s="19">
        <f>0</f>
        <v>0</v>
      </c>
      <c r="G18" s="7" t="s">
        <v>39</v>
      </c>
    </row>
    <row r="19" spans="2:7" ht="15" customHeight="1" x14ac:dyDescent="0.45">
      <c r="B19" s="6" t="s">
        <v>36</v>
      </c>
      <c r="D19" s="17"/>
      <c r="E19" s="18">
        <f>IF(D19="",F19,D19)</f>
        <v>1.2</v>
      </c>
      <c r="F19" s="19">
        <f>INDEX(Data_tables!$D$6:$D$11,MATCH($D$6,Data_tables!$B$6:$B$11,0))</f>
        <v>1.2</v>
      </c>
    </row>
  </sheetData>
  <mergeCells count="2">
    <mergeCell ref="B9:G9"/>
    <mergeCell ref="B15:G15"/>
  </mergeCell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Data_tables!$B$6:$B$11</xm:f>
          </x14:formula1>
          <x14:formula2>
            <xm:f>0</xm:f>
          </x14:formula2>
          <xm:sqref>D6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B2:G30"/>
  <sheetViews>
    <sheetView showGridLines="0" topLeftCell="A5" zoomScaleNormal="100" workbookViewId="0">
      <selection activeCell="G17" sqref="G17"/>
    </sheetView>
  </sheetViews>
  <sheetFormatPr defaultColWidth="8.6640625" defaultRowHeight="14.25" x14ac:dyDescent="0.45"/>
  <cols>
    <col min="1" max="1" width="3" customWidth="1"/>
    <col min="2" max="2" width="42" customWidth="1"/>
    <col min="3" max="3" width="20" customWidth="1"/>
    <col min="4" max="4" width="22.53125" bestFit="1" customWidth="1"/>
    <col min="5" max="6" width="14" customWidth="1"/>
    <col min="7" max="7" width="50" customWidth="1"/>
  </cols>
  <sheetData>
    <row r="2" spans="2:7" ht="17.25" customHeight="1" x14ac:dyDescent="0.5">
      <c r="B2" s="3" t="s">
        <v>40</v>
      </c>
    </row>
    <row r="3" spans="2:7" ht="15" customHeight="1" x14ac:dyDescent="0.45">
      <c r="B3" s="7" t="s">
        <v>41</v>
      </c>
    </row>
    <row r="4" spans="2:7" ht="15" customHeight="1" x14ac:dyDescent="0.45">
      <c r="B4" s="4" t="s">
        <v>42</v>
      </c>
      <c r="D4" s="9" t="s">
        <v>223</v>
      </c>
    </row>
    <row r="5" spans="2:7" ht="15" customHeight="1" x14ac:dyDescent="0.45">
      <c r="B5" s="4"/>
      <c r="D5" s="9"/>
    </row>
    <row r="6" spans="2:7" ht="15" customHeight="1" x14ac:dyDescent="0.45">
      <c r="B6" s="2" t="s">
        <v>43</v>
      </c>
      <c r="C6" s="2"/>
      <c r="D6" s="2"/>
      <c r="E6" s="2"/>
      <c r="F6" s="2"/>
      <c r="G6" s="2"/>
    </row>
    <row r="8" spans="2:7" ht="15" customHeight="1" x14ac:dyDescent="0.45">
      <c r="D8" s="9" t="s">
        <v>44</v>
      </c>
    </row>
    <row r="9" spans="2:7" ht="15" customHeight="1" x14ac:dyDescent="0.45">
      <c r="B9" s="4" t="s">
        <v>45</v>
      </c>
      <c r="D9" s="9" t="s">
        <v>46</v>
      </c>
    </row>
    <row r="10" spans="2:7" ht="15" customHeight="1" x14ac:dyDescent="0.45">
      <c r="D10" s="16" t="s">
        <v>32</v>
      </c>
      <c r="E10" s="16" t="s">
        <v>33</v>
      </c>
      <c r="F10" s="16" t="s">
        <v>34</v>
      </c>
    </row>
    <row r="11" spans="2:7" ht="15" customHeight="1" x14ac:dyDescent="0.45">
      <c r="B11" s="6" t="s">
        <v>47</v>
      </c>
      <c r="D11" s="11"/>
      <c r="E11" s="20">
        <f>IF(D11="",F11,D11)</f>
        <v>900</v>
      </c>
      <c r="F11" s="21">
        <f>INDEX(Data_tables!$C$15:$C$20,MATCH($D$8,Data_tables!$B$15:$B$20,0))</f>
        <v>900</v>
      </c>
    </row>
    <row r="12" spans="2:7" ht="15" customHeight="1" x14ac:dyDescent="0.45">
      <c r="B12" s="6" t="s">
        <v>48</v>
      </c>
      <c r="D12" s="22"/>
      <c r="E12" s="23">
        <f>IF(D12="",F12,D12)</f>
        <v>0.1</v>
      </c>
      <c r="F12" s="24">
        <f>INDEX(Data_tables!$D$15:$D$20,MATCH($D$8,Data_tables!$B$15:$B$20,0))</f>
        <v>0.1</v>
      </c>
    </row>
    <row r="13" spans="2:7" ht="15" customHeight="1" x14ac:dyDescent="0.45">
      <c r="B13" s="6" t="s">
        <v>49</v>
      </c>
      <c r="D13" s="11"/>
      <c r="E13" s="20">
        <f>IF(D13="",F13,D13)</f>
        <v>18600</v>
      </c>
      <c r="F13" s="21">
        <f>INDEX(Data_tables!$L$15:$L$20,MATCH($D$8,Data_tables!$B$15:$B$20,0))</f>
        <v>18600</v>
      </c>
    </row>
    <row r="14" spans="2:7" ht="15" customHeight="1" x14ac:dyDescent="0.45">
      <c r="B14" s="6" t="s">
        <v>50</v>
      </c>
      <c r="D14" s="25"/>
      <c r="E14" s="26">
        <f>IF(D14="",F14,D14)</f>
        <v>15</v>
      </c>
      <c r="F14" s="27">
        <f>INDEX(Data_tables!$M$15:$M$20,MATCH($D$8,Data_tables!$B$15:$B$20,0))</f>
        <v>15</v>
      </c>
      <c r="G14" s="7" t="s">
        <v>51</v>
      </c>
    </row>
    <row r="15" spans="2:7" ht="15" customHeight="1" x14ac:dyDescent="0.45">
      <c r="B15" s="6" t="s">
        <v>52</v>
      </c>
      <c r="D15" s="11"/>
      <c r="E15" s="20">
        <f>IF(D15="",F15,D15)</f>
        <v>2580.6451612903224</v>
      </c>
      <c r="F15" s="21">
        <f>IF($D$4="Distance (nautical miles)",(Cargo!$D$11*2)*Vessel!$D$8*INDEX(Data_tables!$F$6:$F$11,MATCH(Vessel!$D$6,Data_tables!$B$6:$B$11,0))*1000/E13,INDEX(Data_tables!$E$6:$E$11,MATCH(Vessel!$D$6,Data_tables!$B$6:$B$11,0)))</f>
        <v>2580.6451612903224</v>
      </c>
      <c r="G15" s="7" t="s">
        <v>53</v>
      </c>
    </row>
    <row r="16" spans="2:7" ht="15" customHeight="1" x14ac:dyDescent="0.45">
      <c r="B16" s="6" t="s">
        <v>54</v>
      </c>
      <c r="D16" s="17"/>
      <c r="E16" s="18">
        <f>IF($D$9="Purchase",0,IF(D16="",F16,D16))</f>
        <v>55</v>
      </c>
      <c r="F16" s="19">
        <f>INDEX(Data_tables!$E$15:$E$20,MATCH($D$8,Data_tables!$B$15:$B$20,0))</f>
        <v>55</v>
      </c>
      <c r="G16" s="7" t="s">
        <v>55</v>
      </c>
    </row>
    <row r="17" spans="2:7" ht="15" customHeight="1" x14ac:dyDescent="0.45">
      <c r="B17" s="6" t="s">
        <v>56</v>
      </c>
      <c r="D17" s="17"/>
      <c r="E17" s="18">
        <f>IF($D$9="Purchase",0,IF(D17="",F17,D17))</f>
        <v>3</v>
      </c>
      <c r="F17" s="19">
        <f>INDEX(Data_tables!$F$15:$F$20,MATCH($D$8,Data_tables!$B$15:$B$20,0))</f>
        <v>3</v>
      </c>
      <c r="G17" s="7" t="s">
        <v>55</v>
      </c>
    </row>
    <row r="19" spans="2:7" ht="15" customHeight="1" x14ac:dyDescent="0.45">
      <c r="B19" s="2" t="s">
        <v>57</v>
      </c>
      <c r="C19" s="2"/>
      <c r="D19" s="2"/>
      <c r="E19" s="2"/>
      <c r="F19" s="2"/>
      <c r="G19" s="2"/>
    </row>
    <row r="21" spans="2:7" ht="15" customHeight="1" x14ac:dyDescent="0.45">
      <c r="D21" s="9" t="s">
        <v>58</v>
      </c>
    </row>
    <row r="22" spans="2:7" ht="15" customHeight="1" x14ac:dyDescent="0.45">
      <c r="B22" s="4" t="s">
        <v>45</v>
      </c>
      <c r="D22" s="9" t="s">
        <v>59</v>
      </c>
    </row>
    <row r="23" spans="2:7" ht="15" customHeight="1" x14ac:dyDescent="0.45">
      <c r="D23" s="16" t="s">
        <v>32</v>
      </c>
      <c r="E23" s="16" t="s">
        <v>33</v>
      </c>
      <c r="F23" s="16" t="s">
        <v>34</v>
      </c>
    </row>
    <row r="24" spans="2:7" ht="15" customHeight="1" x14ac:dyDescent="0.45">
      <c r="B24" s="6" t="s">
        <v>47</v>
      </c>
      <c r="D24" s="11"/>
      <c r="E24" s="20">
        <f>IF(D24="",F24,D24)</f>
        <v>594</v>
      </c>
      <c r="F24" s="21">
        <f>INDEX(Data_tables!$C$15:$C$20,MATCH($D$21,Data_tables!$B$15:$B$20,0))</f>
        <v>594</v>
      </c>
    </row>
    <row r="25" spans="2:7" ht="15" customHeight="1" x14ac:dyDescent="0.45">
      <c r="B25" s="6" t="s">
        <v>48</v>
      </c>
      <c r="D25" s="22"/>
      <c r="E25" s="23">
        <f>IF(D25="",F25,D25)</f>
        <v>3.3</v>
      </c>
      <c r="F25" s="24">
        <f>INDEX(Data_tables!$D$15:$D$20,MATCH($D$21,Data_tables!$B$15:$B$20,0))</f>
        <v>3.3</v>
      </c>
    </row>
    <row r="26" spans="2:7" ht="15" customHeight="1" x14ac:dyDescent="0.45">
      <c r="B26" s="6" t="s">
        <v>49</v>
      </c>
      <c r="D26" s="11"/>
      <c r="E26" s="20">
        <f>IF(D26="",F26,D26)</f>
        <v>40200</v>
      </c>
      <c r="F26" s="21">
        <f>INDEX(Data_tables!$L$15:$L$20,MATCH($D$21,Data_tables!$B$15:$B$20,0))</f>
        <v>40200</v>
      </c>
      <c r="G26" s="7" t="s">
        <v>60</v>
      </c>
    </row>
    <row r="27" spans="2:7" ht="15" customHeight="1" x14ac:dyDescent="0.45">
      <c r="B27" s="6" t="s">
        <v>50</v>
      </c>
      <c r="D27" s="25"/>
      <c r="E27" s="26">
        <f>IF(D27="",F27,D27)</f>
        <v>92.4</v>
      </c>
      <c r="F27" s="27">
        <f>INDEX(Data_tables!$M$15:$M$20,MATCH($D$21,Data_tables!$B$15:$B$20,0))</f>
        <v>92.4</v>
      </c>
      <c r="G27" s="7" t="s">
        <v>51</v>
      </c>
    </row>
    <row r="28" spans="2:7" ht="15" customHeight="1" x14ac:dyDescent="0.45">
      <c r="B28" s="6" t="s">
        <v>52</v>
      </c>
      <c r="D28" s="11"/>
      <c r="E28" s="20">
        <f>IF(D28="",F28,D28)</f>
        <v>1194.0298507462687</v>
      </c>
      <c r="F28" s="21">
        <f>IF($D$4="Distance (nautical miles)",(Cargo!$D$11*2)*Vessel!$D$8*INDEX(Data_tables!$F$6:$F$11,MATCH(Vessel!$D$6,Data_tables!$B$6:$B$11,0))*1000/E26,INDEX(Data_tables!$E$6:$E$11,MATCH(Vessel!$D$6,Data_tables!$B$6:$B$11,0)))</f>
        <v>1194.0298507462687</v>
      </c>
      <c r="G28" s="7" t="s">
        <v>61</v>
      </c>
    </row>
    <row r="29" spans="2:7" ht="15" customHeight="1" x14ac:dyDescent="0.45">
      <c r="B29" s="6" t="s">
        <v>54</v>
      </c>
      <c r="D29" s="17"/>
      <c r="E29" s="18">
        <f>IF($D$22="Purchase",0,IF(D29="",F29,D29))</f>
        <v>0</v>
      </c>
      <c r="F29" s="19">
        <v>15</v>
      </c>
      <c r="G29" s="7" t="s">
        <v>62</v>
      </c>
    </row>
    <row r="30" spans="2:7" ht="15" customHeight="1" x14ac:dyDescent="0.45">
      <c r="B30" s="6" t="s">
        <v>56</v>
      </c>
      <c r="D30" s="17"/>
      <c r="E30" s="18">
        <f>IF($D$22="Purchase",0,IF(D30="",F30,D30))</f>
        <v>0</v>
      </c>
      <c r="F30" s="19">
        <v>1</v>
      </c>
    </row>
  </sheetData>
  <mergeCells count="2">
    <mergeCell ref="B6:G6"/>
    <mergeCell ref="B19:G19"/>
  </mergeCells>
  <dataValidations count="2">
    <dataValidation type="list" sqref="D9 D22" xr:uid="{00000000-0002-0000-0300-000001000000}">
      <formula1>"Construct,Purchase"</formula1>
      <formula2>0</formula2>
    </dataValidation>
    <dataValidation type="list" sqref="D4:D5" xr:uid="{00000000-0002-0000-0300-000004000000}">
      <formula1>"Vessel benchmark,Distance (nautical miles)"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Data_tables!$B$15:$B$20</xm:f>
          </x14:formula1>
          <x14:formula2>
            <xm:f>0</xm:f>
          </x14:formula2>
          <xm:sqref>D8 D21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183"/>
  </sheetPr>
  <dimension ref="B2:G21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3" width="20" customWidth="1"/>
    <col min="4" max="4" width="16" customWidth="1"/>
    <col min="5" max="6" width="14" customWidth="1"/>
    <col min="7" max="7" width="50" customWidth="1"/>
  </cols>
  <sheetData>
    <row r="2" spans="2:7" ht="17.25" customHeight="1" x14ac:dyDescent="0.5">
      <c r="B2" s="3" t="s">
        <v>63</v>
      </c>
    </row>
    <row r="3" spans="2:7" ht="15" customHeight="1" x14ac:dyDescent="0.45">
      <c r="B3" s="7" t="s">
        <v>64</v>
      </c>
    </row>
    <row r="5" spans="2:7" ht="15" customHeight="1" x14ac:dyDescent="0.45">
      <c r="B5" s="2" t="s">
        <v>65</v>
      </c>
      <c r="C5" s="2"/>
      <c r="D5" s="2"/>
      <c r="E5" s="2"/>
      <c r="F5" s="2"/>
      <c r="G5" s="2"/>
    </row>
    <row r="7" spans="2:7" ht="15" customHeight="1" x14ac:dyDescent="0.45">
      <c r="D7" s="16" t="s">
        <v>32</v>
      </c>
      <c r="E7" s="16" t="s">
        <v>33</v>
      </c>
      <c r="F7" s="16" t="s">
        <v>34</v>
      </c>
    </row>
    <row r="8" spans="2:7" ht="15" customHeight="1" x14ac:dyDescent="0.45">
      <c r="B8" s="6" t="s">
        <v>66</v>
      </c>
      <c r="D8" s="17"/>
      <c r="E8" s="18">
        <f>IF(D8="",F8,D8)</f>
        <v>12</v>
      </c>
      <c r="F8" s="19">
        <f>INDEX(Data_tables!$G$15:$G$20,MATCH(Fuel!$D$8,Data_tables!$B$15:$B$20,0))</f>
        <v>12</v>
      </c>
    </row>
    <row r="9" spans="2:7" ht="15" customHeight="1" x14ac:dyDescent="0.45">
      <c r="B9" s="6" t="s">
        <v>67</v>
      </c>
      <c r="D9" s="17"/>
      <c r="E9" s="18">
        <f>IF(D9="",F9,D9)</f>
        <v>0.5</v>
      </c>
      <c r="F9" s="19">
        <f>INDEX(Data_tables!$H$15:$H$20,MATCH(Fuel!$D$8,Data_tables!$B$15:$B$20,0))</f>
        <v>0.5</v>
      </c>
    </row>
    <row r="11" spans="2:7" ht="15" customHeight="1" x14ac:dyDescent="0.45">
      <c r="B11" s="6" t="s">
        <v>68</v>
      </c>
      <c r="D11" s="17"/>
      <c r="E11" s="18">
        <f>IF(D11="",F11,D11)</f>
        <v>5</v>
      </c>
      <c r="F11" s="19">
        <f>INDEX(Data_tables!$I$15:$I$20,MATCH(Fuel!$D$8,Data_tables!$B$15:$B$20,0))</f>
        <v>5</v>
      </c>
    </row>
    <row r="12" spans="2:7" ht="15" customHeight="1" x14ac:dyDescent="0.45">
      <c r="B12" s="6" t="s">
        <v>69</v>
      </c>
      <c r="D12" s="17"/>
      <c r="E12" s="18">
        <f>IF(D12="",F12,D12)</f>
        <v>0.3</v>
      </c>
      <c r="F12" s="19">
        <f>INDEX(Data_tables!$J$15:$J$20,MATCH(Fuel!$D$8,Data_tables!$B$15:$B$20,0))</f>
        <v>0.3</v>
      </c>
    </row>
    <row r="14" spans="2:7" ht="15" customHeight="1" x14ac:dyDescent="0.45">
      <c r="B14" s="2" t="s">
        <v>70</v>
      </c>
      <c r="C14" s="2"/>
      <c r="D14" s="2"/>
      <c r="E14" s="2"/>
      <c r="F14" s="2"/>
      <c r="G14" s="2"/>
    </row>
    <row r="16" spans="2:7" ht="15" customHeight="1" x14ac:dyDescent="0.45">
      <c r="D16" s="16" t="s">
        <v>32</v>
      </c>
      <c r="E16" s="16" t="s">
        <v>33</v>
      </c>
      <c r="F16" s="16" t="s">
        <v>34</v>
      </c>
    </row>
    <row r="17" spans="2:7" ht="15" customHeight="1" x14ac:dyDescent="0.45">
      <c r="B17" s="6" t="s">
        <v>66</v>
      </c>
      <c r="D17" s="17"/>
      <c r="E17" s="18">
        <f>IF(D17="",F17,D17)</f>
        <v>0</v>
      </c>
      <c r="F17" s="19">
        <f>0</f>
        <v>0</v>
      </c>
      <c r="G17" s="7" t="s">
        <v>71</v>
      </c>
    </row>
    <row r="18" spans="2:7" ht="15" customHeight="1" x14ac:dyDescent="0.45">
      <c r="B18" s="6" t="s">
        <v>67</v>
      </c>
      <c r="D18" s="17"/>
      <c r="E18" s="18">
        <f>IF(D18="",F18,D18)</f>
        <v>0</v>
      </c>
      <c r="F18" s="19">
        <f>INDEX(Data_tables!$H$15:$H$20,MATCH(Fuel!$D$21,Data_tables!$B$15:$B$20,0))*0.3</f>
        <v>0</v>
      </c>
      <c r="G18" s="7" t="s">
        <v>72</v>
      </c>
    </row>
    <row r="20" spans="2:7" ht="15" customHeight="1" x14ac:dyDescent="0.45">
      <c r="B20" s="6" t="s">
        <v>68</v>
      </c>
      <c r="D20" s="17"/>
      <c r="E20" s="18">
        <f>IF(D20="",F20,D20)</f>
        <v>0</v>
      </c>
      <c r="F20" s="19">
        <f>0</f>
        <v>0</v>
      </c>
      <c r="G20" s="7" t="s">
        <v>71</v>
      </c>
    </row>
    <row r="21" spans="2:7" ht="15" customHeight="1" x14ac:dyDescent="0.45">
      <c r="B21" s="6" t="s">
        <v>69</v>
      </c>
      <c r="D21" s="17"/>
      <c r="E21" s="18">
        <f>IF(D21="",F21,D21)</f>
        <v>0</v>
      </c>
      <c r="F21" s="19">
        <f>INDEX(Data_tables!$J$15:$J$20,MATCH(Fuel!$D$21,Data_tables!$B$15:$B$20,0))*0.3</f>
        <v>0</v>
      </c>
    </row>
  </sheetData>
  <mergeCells count="2">
    <mergeCell ref="B5:G5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B2:G36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3" width="20" customWidth="1"/>
    <col min="4" max="4" width="16" customWidth="1"/>
    <col min="5" max="6" width="14" customWidth="1"/>
    <col min="7" max="7" width="50" customWidth="1"/>
  </cols>
  <sheetData>
    <row r="2" spans="2:7" ht="17.25" customHeight="1" x14ac:dyDescent="0.5">
      <c r="B2" s="3" t="s">
        <v>73</v>
      </c>
    </row>
    <row r="3" spans="2:7" ht="27.75" customHeight="1" x14ac:dyDescent="0.45">
      <c r="B3" s="1" t="s">
        <v>74</v>
      </c>
      <c r="C3" s="1"/>
      <c r="D3" s="1"/>
      <c r="E3" s="1"/>
      <c r="F3" s="1"/>
      <c r="G3" s="1"/>
    </row>
    <row r="5" spans="2:7" ht="15" customHeight="1" x14ac:dyDescent="0.45">
      <c r="B5" s="4" t="s">
        <v>75</v>
      </c>
    </row>
    <row r="6" spans="2:7" ht="15" customHeight="1" x14ac:dyDescent="0.45">
      <c r="B6" s="6" t="s">
        <v>76</v>
      </c>
      <c r="D6" s="28" t="s">
        <v>77</v>
      </c>
    </row>
    <row r="7" spans="2:7" ht="15" customHeight="1" x14ac:dyDescent="0.45">
      <c r="B7" s="6" t="s">
        <v>78</v>
      </c>
      <c r="D7" s="29">
        <v>80</v>
      </c>
    </row>
    <row r="8" spans="2:7" ht="15" customHeight="1" x14ac:dyDescent="0.45">
      <c r="B8" s="6" t="s">
        <v>79</v>
      </c>
      <c r="D8" s="30">
        <v>1.08</v>
      </c>
    </row>
    <row r="9" spans="2:7" ht="15" customHeight="1" x14ac:dyDescent="0.45">
      <c r="B9" s="6" t="s">
        <v>80</v>
      </c>
      <c r="D9" s="31">
        <v>1</v>
      </c>
    </row>
    <row r="11" spans="2:7" ht="15" customHeight="1" x14ac:dyDescent="0.45">
      <c r="B11" s="7" t="s">
        <v>81</v>
      </c>
    </row>
    <row r="13" spans="2:7" ht="15" customHeight="1" x14ac:dyDescent="0.45">
      <c r="B13" s="4" t="s">
        <v>82</v>
      </c>
    </row>
    <row r="14" spans="2:7" ht="15" customHeight="1" x14ac:dyDescent="0.45">
      <c r="B14" s="6" t="s">
        <v>83</v>
      </c>
      <c r="D14" s="28" t="s">
        <v>77</v>
      </c>
    </row>
    <row r="15" spans="2:7" ht="15" customHeight="1" x14ac:dyDescent="0.45">
      <c r="B15" s="6" t="s">
        <v>84</v>
      </c>
      <c r="D15" s="29">
        <v>2400</v>
      </c>
    </row>
    <row r="16" spans="2:7" ht="15" customHeight="1" x14ac:dyDescent="0.45">
      <c r="B16" s="6" t="s">
        <v>85</v>
      </c>
      <c r="D16" s="29">
        <v>41000</v>
      </c>
    </row>
    <row r="17" spans="2:7" ht="15" customHeight="1" x14ac:dyDescent="0.45">
      <c r="B17" s="6" t="s">
        <v>86</v>
      </c>
      <c r="D17" s="30">
        <v>91.16</v>
      </c>
    </row>
    <row r="18" spans="2:7" ht="15" customHeight="1" x14ac:dyDescent="0.45">
      <c r="B18" s="6" t="s">
        <v>87</v>
      </c>
      <c r="D18" s="31">
        <v>1</v>
      </c>
    </row>
    <row r="20" spans="2:7" ht="15" customHeight="1" x14ac:dyDescent="0.45">
      <c r="B20" s="7" t="s">
        <v>88</v>
      </c>
    </row>
    <row r="21" spans="2:7" ht="15" customHeight="1" x14ac:dyDescent="0.45">
      <c r="B21" s="7" t="s">
        <v>89</v>
      </c>
    </row>
    <row r="23" spans="2:7" ht="15" customHeight="1" x14ac:dyDescent="0.45">
      <c r="B23" s="4" t="s">
        <v>90</v>
      </c>
    </row>
    <row r="24" spans="2:7" ht="15" customHeight="1" x14ac:dyDescent="0.45">
      <c r="B24" s="6" t="s">
        <v>91</v>
      </c>
      <c r="D24" s="28" t="s">
        <v>92</v>
      </c>
    </row>
    <row r="25" spans="2:7" ht="15" customHeight="1" x14ac:dyDescent="0.45">
      <c r="B25" s="6" t="s">
        <v>93</v>
      </c>
      <c r="D25" s="28" t="s">
        <v>92</v>
      </c>
    </row>
    <row r="26" spans="2:7" ht="15" customHeight="1" x14ac:dyDescent="0.45">
      <c r="B26" s="6" t="s">
        <v>94</v>
      </c>
      <c r="D26" s="30">
        <v>1</v>
      </c>
    </row>
    <row r="27" spans="2:7" ht="15" customHeight="1" x14ac:dyDescent="0.45">
      <c r="B27" s="6" t="s">
        <v>95</v>
      </c>
      <c r="D27" s="32">
        <v>122.5</v>
      </c>
    </row>
    <row r="29" spans="2:7" ht="15" customHeight="1" x14ac:dyDescent="0.45">
      <c r="B29" s="4" t="s">
        <v>96</v>
      </c>
    </row>
    <row r="30" spans="2:7" ht="15" customHeight="1" x14ac:dyDescent="0.45">
      <c r="B30" s="1" t="s">
        <v>97</v>
      </c>
      <c r="C30" s="1"/>
      <c r="D30" s="1"/>
      <c r="E30" s="1"/>
      <c r="F30" s="1"/>
      <c r="G30" s="1"/>
    </row>
    <row r="31" spans="2:7" ht="15" customHeight="1" x14ac:dyDescent="0.45">
      <c r="B31" s="6" t="s">
        <v>98</v>
      </c>
      <c r="D31" s="28" t="s">
        <v>92</v>
      </c>
    </row>
    <row r="32" spans="2:7" ht="15" customHeight="1" x14ac:dyDescent="0.45">
      <c r="B32" s="6" t="s">
        <v>99</v>
      </c>
      <c r="D32" s="29">
        <v>0</v>
      </c>
    </row>
    <row r="33" spans="2:4" ht="15" customHeight="1" x14ac:dyDescent="0.45">
      <c r="B33" s="6" t="s">
        <v>100</v>
      </c>
      <c r="D33" s="30">
        <v>0</v>
      </c>
    </row>
    <row r="34" spans="2:4" ht="15" customHeight="1" x14ac:dyDescent="0.45">
      <c r="B34" s="6" t="s">
        <v>101</v>
      </c>
      <c r="D34" s="31">
        <v>0</v>
      </c>
    </row>
    <row r="35" spans="2:4" ht="15" customHeight="1" x14ac:dyDescent="0.45">
      <c r="B35" s="6" t="s">
        <v>102</v>
      </c>
      <c r="D35" s="31">
        <v>0</v>
      </c>
    </row>
    <row r="36" spans="2:4" ht="15" customHeight="1" x14ac:dyDescent="0.45">
      <c r="B36" s="6" t="s">
        <v>103</v>
      </c>
      <c r="D36" s="33">
        <v>0</v>
      </c>
    </row>
  </sheetData>
  <mergeCells count="2">
    <mergeCell ref="B3:G3"/>
    <mergeCell ref="B30:G30"/>
  </mergeCells>
  <dataValidations count="1">
    <dataValidation type="list" sqref="D6 D31 D24:D25 D14" xr:uid="{00000000-0002-0000-05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B2:AQ85"/>
  <sheetViews>
    <sheetView showGridLines="0" zoomScale="73" zoomScaleNormal="100" workbookViewId="0">
      <pane xSplit="3" ySplit="7" topLeftCell="D24" activePane="bottomRight" state="frozen"/>
      <selection pane="topRight" activeCell="D1" sqref="D1"/>
      <selection pane="bottomLeft" activeCell="A35" sqref="A35"/>
      <selection pane="bottomRight"/>
    </sheetView>
  </sheetViews>
  <sheetFormatPr defaultColWidth="8.59765625" defaultRowHeight="14.25" x14ac:dyDescent="0.45"/>
  <cols>
    <col min="2" max="2" width="36" customWidth="1"/>
    <col min="3" max="3" width="3" customWidth="1"/>
    <col min="4" max="43" width="11" customWidth="1"/>
  </cols>
  <sheetData>
    <row r="2" spans="2:43" ht="17.25" customHeight="1" x14ac:dyDescent="0.5">
      <c r="B2" s="3" t="s">
        <v>104</v>
      </c>
    </row>
    <row r="3" spans="2:43" ht="15" customHeight="1" x14ac:dyDescent="0.45">
      <c r="B3" s="7" t="s">
        <v>105</v>
      </c>
    </row>
    <row r="5" spans="2:43" ht="15" customHeight="1" x14ac:dyDescent="0.45">
      <c r="B5" s="2" t="s">
        <v>106</v>
      </c>
      <c r="C5" s="2"/>
    </row>
    <row r="7" spans="2:43" ht="15" customHeight="1" x14ac:dyDescent="0.45">
      <c r="B7" s="34" t="s">
        <v>107</v>
      </c>
      <c r="D7" s="35">
        <v>1</v>
      </c>
      <c r="E7" s="35">
        <v>2</v>
      </c>
      <c r="F7" s="35">
        <v>3</v>
      </c>
      <c r="G7" s="35">
        <v>4</v>
      </c>
      <c r="H7" s="35">
        <v>5</v>
      </c>
      <c r="I7" s="35">
        <v>6</v>
      </c>
      <c r="J7" s="35">
        <v>7</v>
      </c>
      <c r="K7" s="35">
        <v>8</v>
      </c>
      <c r="L7" s="35">
        <v>9</v>
      </c>
      <c r="M7" s="35">
        <v>10</v>
      </c>
      <c r="N7" s="35">
        <v>11</v>
      </c>
      <c r="O7" s="35">
        <v>12</v>
      </c>
      <c r="P7" s="35">
        <v>13</v>
      </c>
      <c r="Q7" s="35">
        <v>14</v>
      </c>
      <c r="R7" s="35">
        <v>15</v>
      </c>
      <c r="S7" s="35">
        <v>16</v>
      </c>
      <c r="T7" s="35">
        <v>17</v>
      </c>
      <c r="U7" s="35">
        <v>18</v>
      </c>
      <c r="V7" s="35">
        <v>19</v>
      </c>
      <c r="W7" s="35">
        <v>20</v>
      </c>
      <c r="X7" s="35">
        <v>21</v>
      </c>
      <c r="Y7" s="35">
        <v>22</v>
      </c>
      <c r="Z7" s="35">
        <v>23</v>
      </c>
      <c r="AA7" s="35">
        <v>24</v>
      </c>
      <c r="AB7" s="35">
        <v>25</v>
      </c>
      <c r="AC7" s="35">
        <v>26</v>
      </c>
      <c r="AD7" s="35">
        <v>27</v>
      </c>
      <c r="AE7" s="35">
        <v>28</v>
      </c>
      <c r="AF7" s="35">
        <v>29</v>
      </c>
      <c r="AG7" s="35">
        <v>30</v>
      </c>
      <c r="AH7" s="35">
        <v>31</v>
      </c>
      <c r="AI7" s="35">
        <v>32</v>
      </c>
      <c r="AJ7" s="35">
        <v>33</v>
      </c>
      <c r="AK7" s="35">
        <v>34</v>
      </c>
      <c r="AL7" s="35">
        <v>35</v>
      </c>
      <c r="AM7" s="35">
        <v>36</v>
      </c>
      <c r="AN7" s="35">
        <v>37</v>
      </c>
      <c r="AO7" s="35">
        <v>38</v>
      </c>
      <c r="AP7" s="35">
        <v>39</v>
      </c>
      <c r="AQ7" s="35">
        <v>40</v>
      </c>
    </row>
    <row r="8" spans="2:43" ht="15" customHeight="1" x14ac:dyDescent="0.45">
      <c r="B8" s="34" t="s">
        <v>108</v>
      </c>
      <c r="D8" s="36">
        <f>IF(1&lt;=Cargo!$D$15,Cargo!$D$14+1-1,"")</f>
        <v>2027</v>
      </c>
      <c r="E8" s="36">
        <f>IF(2&lt;=Cargo!$D$15,Cargo!$D$14+2-1,"")</f>
        <v>2028</v>
      </c>
      <c r="F8" s="36">
        <f>IF(3&lt;=Cargo!$D$15,Cargo!$D$14+3-1,"")</f>
        <v>2029</v>
      </c>
      <c r="G8" s="36">
        <f>IF(4&lt;=Cargo!$D$15,Cargo!$D$14+4-1,"")</f>
        <v>2030</v>
      </c>
      <c r="H8" s="36">
        <f>IF(5&lt;=Cargo!$D$15,Cargo!$D$14+5-1,"")</f>
        <v>2031</v>
      </c>
      <c r="I8" s="36">
        <f>IF(6&lt;=Cargo!$D$15,Cargo!$D$14+6-1,"")</f>
        <v>2032</v>
      </c>
      <c r="J8" s="36">
        <f>IF(7&lt;=Cargo!$D$15,Cargo!$D$14+7-1,"")</f>
        <v>2033</v>
      </c>
      <c r="K8" s="36">
        <f>IF(8&lt;=Cargo!$D$15,Cargo!$D$14+8-1,"")</f>
        <v>2034</v>
      </c>
      <c r="L8" s="36">
        <f>IF(9&lt;=Cargo!$D$15,Cargo!$D$14+9-1,"")</f>
        <v>2035</v>
      </c>
      <c r="M8" s="36">
        <f>IF(10&lt;=Cargo!$D$15,Cargo!$D$14+10-1,"")</f>
        <v>2036</v>
      </c>
      <c r="N8" s="36">
        <f>IF(11&lt;=Cargo!$D$15,Cargo!$D$14+11-1,"")</f>
        <v>2037</v>
      </c>
      <c r="O8" s="36">
        <f>IF(12&lt;=Cargo!$D$15,Cargo!$D$14+12-1,"")</f>
        <v>2038</v>
      </c>
      <c r="P8" s="36">
        <f>IF(13&lt;=Cargo!$D$15,Cargo!$D$14+13-1,"")</f>
        <v>2039</v>
      </c>
      <c r="Q8" s="36">
        <f>IF(14&lt;=Cargo!$D$15,Cargo!$D$14+14-1,"")</f>
        <v>2040</v>
      </c>
      <c r="R8" s="36">
        <f>IF(15&lt;=Cargo!$D$15,Cargo!$D$14+15-1,"")</f>
        <v>2041</v>
      </c>
      <c r="S8" s="36">
        <f>IF(16&lt;=Cargo!$D$15,Cargo!$D$14+16-1,"")</f>
        <v>2042</v>
      </c>
      <c r="T8" s="36">
        <f>IF(17&lt;=Cargo!$D$15,Cargo!$D$14+17-1,"")</f>
        <v>2043</v>
      </c>
      <c r="U8" s="36">
        <f>IF(18&lt;=Cargo!$D$15,Cargo!$D$14+18-1,"")</f>
        <v>2044</v>
      </c>
      <c r="V8" s="36">
        <f>IF(19&lt;=Cargo!$D$15,Cargo!$D$14+19-1,"")</f>
        <v>2045</v>
      </c>
      <c r="W8" s="36">
        <f>IF(20&lt;=Cargo!$D$15,Cargo!$D$14+20-1,"")</f>
        <v>2046</v>
      </c>
      <c r="X8" s="36" t="str">
        <f>IF(21&lt;=Cargo!$D$15,Cargo!$D$14+21-1,"")</f>
        <v/>
      </c>
      <c r="Y8" s="36" t="str">
        <f>IF(22&lt;=Cargo!$D$15,Cargo!$D$14+22-1,"")</f>
        <v/>
      </c>
      <c r="Z8" s="36" t="str">
        <f>IF(23&lt;=Cargo!$D$15,Cargo!$D$14+23-1,"")</f>
        <v/>
      </c>
      <c r="AA8" s="36" t="str">
        <f>IF(24&lt;=Cargo!$D$15,Cargo!$D$14+24-1,"")</f>
        <v/>
      </c>
      <c r="AB8" s="36" t="str">
        <f>IF(25&lt;=Cargo!$D$15,Cargo!$D$14+25-1,"")</f>
        <v/>
      </c>
      <c r="AC8" s="36" t="str">
        <f>IF(26&lt;=Cargo!$D$15,Cargo!$D$14+26-1,"")</f>
        <v/>
      </c>
      <c r="AD8" s="36" t="str">
        <f>IF(27&lt;=Cargo!$D$15,Cargo!$D$14+27-1,"")</f>
        <v/>
      </c>
      <c r="AE8" s="36" t="str">
        <f>IF(28&lt;=Cargo!$D$15,Cargo!$D$14+28-1,"")</f>
        <v/>
      </c>
      <c r="AF8" s="36" t="str">
        <f>IF(29&lt;=Cargo!$D$15,Cargo!$D$14+29-1,"")</f>
        <v/>
      </c>
      <c r="AG8" s="36" t="str">
        <f>IF(30&lt;=Cargo!$D$15,Cargo!$D$14+30-1,"")</f>
        <v/>
      </c>
      <c r="AH8" s="36" t="str">
        <f>IF(31&lt;=Cargo!$D$15,Cargo!$D$14+31-1,"")</f>
        <v/>
      </c>
      <c r="AI8" s="36" t="str">
        <f>IF(32&lt;=Cargo!$D$15,Cargo!$D$14+32-1,"")</f>
        <v/>
      </c>
      <c r="AJ8" s="36" t="str">
        <f>IF(33&lt;=Cargo!$D$15,Cargo!$D$14+33-1,"")</f>
        <v/>
      </c>
      <c r="AK8" s="36" t="str">
        <f>IF(34&lt;=Cargo!$D$15,Cargo!$D$14+34-1,"")</f>
        <v/>
      </c>
      <c r="AL8" s="36" t="str">
        <f>IF(35&lt;=Cargo!$D$15,Cargo!$D$14+35-1,"")</f>
        <v/>
      </c>
      <c r="AM8" s="36" t="str">
        <f>IF(36&lt;=Cargo!$D$15,Cargo!$D$14+36-1,"")</f>
        <v/>
      </c>
      <c r="AN8" s="36" t="str">
        <f>IF(37&lt;=Cargo!$D$15,Cargo!$D$14+37-1,"")</f>
        <v/>
      </c>
      <c r="AO8" s="36" t="str">
        <f>IF(38&lt;=Cargo!$D$15,Cargo!$D$14+38-1,"")</f>
        <v/>
      </c>
      <c r="AP8" s="36" t="str">
        <f>IF(39&lt;=Cargo!$D$15,Cargo!$D$14+39-1,"")</f>
        <v/>
      </c>
      <c r="AQ8" s="36" t="str">
        <f>IF(40&lt;=Cargo!$D$15,Cargo!$D$14+40-1,"")</f>
        <v/>
      </c>
    </row>
    <row r="9" spans="2:43" ht="15" customHeight="1" x14ac:dyDescent="0.45">
      <c r="B9" s="7" t="s">
        <v>109</v>
      </c>
    </row>
    <row r="10" spans="2:43" ht="15" customHeight="1" x14ac:dyDescent="0.45">
      <c r="B10" s="37"/>
    </row>
    <row r="11" spans="2:43" ht="15" customHeight="1" x14ac:dyDescent="0.45">
      <c r="B11" s="2" t="s">
        <v>110</v>
      </c>
      <c r="C11" s="2"/>
    </row>
    <row r="12" spans="2:43" ht="15" customHeight="1" x14ac:dyDescent="0.45">
      <c r="B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</row>
    <row r="13" spans="2:43" ht="15" customHeight="1" x14ac:dyDescent="0.45">
      <c r="B13" s="38" t="s">
        <v>111</v>
      </c>
      <c r="D13" s="39">
        <f>IF(1&lt;=Cargo!$D$15,IF(1=1,Fuel!$E$16,0),0)</f>
        <v>55</v>
      </c>
      <c r="E13" s="39">
        <f>IF(2&lt;=Cargo!$D$15,IF(2=1,Fuel!$E$16,0),0)</f>
        <v>0</v>
      </c>
      <c r="F13" s="39">
        <f>IF(3&lt;=Cargo!$D$15,IF(3=1,Fuel!$E$16,0),0)</f>
        <v>0</v>
      </c>
      <c r="G13" s="39">
        <f>IF(4&lt;=Cargo!$D$15,IF(4=1,Fuel!$E$16,0),0)</f>
        <v>0</v>
      </c>
      <c r="H13" s="39">
        <f>IF(5&lt;=Cargo!$D$15,IF(5=1,Fuel!$E$16,0),0)</f>
        <v>0</v>
      </c>
      <c r="I13" s="39">
        <f>IF(6&lt;=Cargo!$D$15,IF(6=1,Fuel!$E$16,0),0)</f>
        <v>0</v>
      </c>
      <c r="J13" s="39">
        <f>IF(7&lt;=Cargo!$D$15,IF(7=1,Fuel!$E$16,0),0)</f>
        <v>0</v>
      </c>
      <c r="K13" s="39">
        <f>IF(8&lt;=Cargo!$D$15,IF(8=1,Fuel!$E$16,0),0)</f>
        <v>0</v>
      </c>
      <c r="L13" s="39">
        <f>IF(9&lt;=Cargo!$D$15,IF(9=1,Fuel!$E$16,0),0)</f>
        <v>0</v>
      </c>
      <c r="M13" s="39">
        <f>IF(10&lt;=Cargo!$D$15,IF(10=1,Fuel!$E$16,0),0)</f>
        <v>0</v>
      </c>
      <c r="N13" s="39">
        <f>IF(11&lt;=Cargo!$D$15,IF(11=1,Fuel!$E$16,0),0)</f>
        <v>0</v>
      </c>
      <c r="O13" s="39">
        <f>IF(12&lt;=Cargo!$D$15,IF(12=1,Fuel!$E$16,0),0)</f>
        <v>0</v>
      </c>
      <c r="P13" s="39">
        <f>IF(13&lt;=Cargo!$D$15,IF(13=1,Fuel!$E$16,0),0)</f>
        <v>0</v>
      </c>
      <c r="Q13" s="39">
        <f>IF(14&lt;=Cargo!$D$15,IF(14=1,Fuel!$E$16,0),0)</f>
        <v>0</v>
      </c>
      <c r="R13" s="39">
        <f>IF(15&lt;=Cargo!$D$15,IF(15=1,Fuel!$E$16,0),0)</f>
        <v>0</v>
      </c>
      <c r="S13" s="39">
        <f>IF(16&lt;=Cargo!$D$15,IF(16=1,Fuel!$E$16,0),0)</f>
        <v>0</v>
      </c>
      <c r="T13" s="39">
        <f>IF(17&lt;=Cargo!$D$15,IF(17=1,Fuel!$E$16,0),0)</f>
        <v>0</v>
      </c>
      <c r="U13" s="39">
        <f>IF(18&lt;=Cargo!$D$15,IF(18=1,Fuel!$E$16,0),0)</f>
        <v>0</v>
      </c>
      <c r="V13" s="39">
        <f>IF(19&lt;=Cargo!$D$15,IF(19=1,Fuel!$E$16,0),0)</f>
        <v>0</v>
      </c>
      <c r="W13" s="39">
        <f>IF(20&lt;=Cargo!$D$15,IF(20=1,Fuel!$E$16,0),0)</f>
        <v>0</v>
      </c>
      <c r="X13" s="39">
        <f>IF(21&lt;=Cargo!$D$15,IF(21=1,Fuel!$E$16,0),0)</f>
        <v>0</v>
      </c>
      <c r="Y13" s="39">
        <f>IF(22&lt;=Cargo!$D$15,IF(22=1,Fuel!$E$16,0),0)</f>
        <v>0</v>
      </c>
      <c r="Z13" s="39">
        <f>IF(23&lt;=Cargo!$D$15,IF(23=1,Fuel!$E$16,0),0)</f>
        <v>0</v>
      </c>
      <c r="AA13" s="39">
        <f>IF(24&lt;=Cargo!$D$15,IF(24=1,Fuel!$E$16,0),0)</f>
        <v>0</v>
      </c>
      <c r="AB13" s="39">
        <f>IF(25&lt;=Cargo!$D$15,IF(25=1,Fuel!$E$16,0),0)</f>
        <v>0</v>
      </c>
      <c r="AC13" s="39">
        <f>IF(26&lt;=Cargo!$D$15,IF(26=1,Fuel!$E$16,0),0)</f>
        <v>0</v>
      </c>
      <c r="AD13" s="39">
        <f>IF(27&lt;=Cargo!$D$15,IF(27=1,Fuel!$E$16,0),0)</f>
        <v>0</v>
      </c>
      <c r="AE13" s="39">
        <f>IF(28&lt;=Cargo!$D$15,IF(28=1,Fuel!$E$16,0),0)</f>
        <v>0</v>
      </c>
      <c r="AF13" s="39">
        <f>IF(29&lt;=Cargo!$D$15,IF(29=1,Fuel!$E$16,0),0)</f>
        <v>0</v>
      </c>
      <c r="AG13" s="39">
        <f>IF(30&lt;=Cargo!$D$15,IF(30=1,Fuel!$E$16,0),0)</f>
        <v>0</v>
      </c>
      <c r="AH13" s="39">
        <f>IF(31&lt;=Cargo!$D$15,IF(31=1,Fuel!$E$16,0),0)</f>
        <v>0</v>
      </c>
      <c r="AI13" s="39">
        <f>IF(32&lt;=Cargo!$D$15,IF(32=1,Fuel!$E$16,0),0)</f>
        <v>0</v>
      </c>
      <c r="AJ13" s="39">
        <f>IF(33&lt;=Cargo!$D$15,IF(33=1,Fuel!$E$16,0),0)</f>
        <v>0</v>
      </c>
      <c r="AK13" s="39">
        <f>IF(34&lt;=Cargo!$D$15,IF(34=1,Fuel!$E$16,0),0)</f>
        <v>0</v>
      </c>
      <c r="AL13" s="39">
        <f>IF(35&lt;=Cargo!$D$15,IF(35=1,Fuel!$E$16,0),0)</f>
        <v>0</v>
      </c>
      <c r="AM13" s="39">
        <f>IF(36&lt;=Cargo!$D$15,IF(36=1,Fuel!$E$16,0),0)</f>
        <v>0</v>
      </c>
      <c r="AN13" s="39">
        <f>IF(37&lt;=Cargo!$D$15,IF(37=1,Fuel!$E$16,0),0)</f>
        <v>0</v>
      </c>
      <c r="AO13" s="39">
        <f>IF(38&lt;=Cargo!$D$15,IF(38=1,Fuel!$E$16,0),0)</f>
        <v>0</v>
      </c>
      <c r="AP13" s="39">
        <f>IF(39&lt;=Cargo!$D$15,IF(39=1,Fuel!$E$16,0),0)</f>
        <v>0</v>
      </c>
      <c r="AQ13" s="39">
        <f>IF(40&lt;=Cargo!$D$15,IF(40=1,Fuel!$E$16,0),0)</f>
        <v>0</v>
      </c>
    </row>
    <row r="14" spans="2:43" ht="15" customHeight="1" x14ac:dyDescent="0.45">
      <c r="B14" s="38" t="s">
        <v>112</v>
      </c>
      <c r="D14" s="39">
        <f>IF(1&lt;=Cargo!$D$15,Vessel!$D$7*Fuel!$E$15*Fuel!$E$11/1000000*(1+Cargo!$D$18)^(1-1)+Fuel!$E$17*(1+Cargo!$D$18)^(1-1),0)</f>
        <v>5.32258064516129</v>
      </c>
      <c r="E14" s="39">
        <f>IF(2&lt;=Cargo!$D$15,Vessel!$D$7*Fuel!$E$15*Fuel!$E$11/1000000*(1+Cargo!$D$18)^(2-1)+Fuel!$E$17*(1+Cargo!$D$18)^(2-1),0)</f>
        <v>5.4290322580645158</v>
      </c>
      <c r="F14" s="39">
        <f>IF(3&lt;=Cargo!$D$15,Vessel!$D$7*Fuel!$E$15*Fuel!$E$11/1000000*(1+Cargo!$D$18)^(3-1)+Fuel!$E$17*(1+Cargo!$D$18)^(3-1),0)</f>
        <v>5.5376129032258063</v>
      </c>
      <c r="G14" s="39">
        <f>IF(4&lt;=Cargo!$D$15,Vessel!$D$7*Fuel!$E$15*Fuel!$E$11/1000000*(1+Cargo!$D$18)^(4-1)+Fuel!$E$17*(1+Cargo!$D$18)^(4-1),0)</f>
        <v>5.6483651612903216</v>
      </c>
      <c r="H14" s="39">
        <f>IF(5&lt;=Cargo!$D$15,Vessel!$D$7*Fuel!$E$15*Fuel!$E$11/1000000*(1+Cargo!$D$18)^(5-1)+Fuel!$E$17*(1+Cargo!$D$18)^(5-1),0)</f>
        <v>5.761332464516129</v>
      </c>
      <c r="I14" s="39">
        <f>IF(6&lt;=Cargo!$D$15,Vessel!$D$7*Fuel!$E$15*Fuel!$E$11/1000000*(1+Cargo!$D$18)^(6-1)+Fuel!$E$17*(1+Cargo!$D$18)^(6-1),0)</f>
        <v>5.8765591138064508</v>
      </c>
      <c r="J14" s="39">
        <f>IF(7&lt;=Cargo!$D$15,Vessel!$D$7*Fuel!$E$15*Fuel!$E$11/1000000*(1+Cargo!$D$18)^(7-1)+Fuel!$E$17*(1+Cargo!$D$18)^(7-1),0)</f>
        <v>5.9940902960825806</v>
      </c>
      <c r="K14" s="39">
        <f>IF(8&lt;=Cargo!$D$15,Vessel!$D$7*Fuel!$E$15*Fuel!$E$11/1000000*(1+Cargo!$D$18)^(8-1)+Fuel!$E$17*(1+Cargo!$D$18)^(8-1),0)</f>
        <v>6.1139721020042312</v>
      </c>
      <c r="L14" s="39">
        <f>IF(9&lt;=Cargo!$D$15,Vessel!$D$7*Fuel!$E$15*Fuel!$E$11/1000000*(1+Cargo!$D$18)^(9-1)+Fuel!$E$17*(1+Cargo!$D$18)^(9-1),0)</f>
        <v>6.2362515440443165</v>
      </c>
      <c r="M14" s="39">
        <f>IF(10&lt;=Cargo!$D$15,Vessel!$D$7*Fuel!$E$15*Fuel!$E$11/1000000*(1+Cargo!$D$18)^(10-1)+Fuel!$E$17*(1+Cargo!$D$18)^(10-1),0)</f>
        <v>6.3609765749252025</v>
      </c>
      <c r="N14" s="39">
        <f>IF(11&lt;=Cargo!$D$15,Vessel!$D$7*Fuel!$E$15*Fuel!$E$11/1000000*(1+Cargo!$D$18)^(11-1)+Fuel!$E$17*(1+Cargo!$D$18)^(11-1),0)</f>
        <v>6.4881961064237075</v>
      </c>
      <c r="O14" s="39">
        <f>IF(12&lt;=Cargo!$D$15,Vessel!$D$7*Fuel!$E$15*Fuel!$E$11/1000000*(1+Cargo!$D$18)^(12-1)+Fuel!$E$17*(1+Cargo!$D$18)^(12-1),0)</f>
        <v>6.6179600285521794</v>
      </c>
      <c r="P14" s="39">
        <f>IF(13&lt;=Cargo!$D$15,Vessel!$D$7*Fuel!$E$15*Fuel!$E$11/1000000*(1+Cargo!$D$18)^(13-1)+Fuel!$E$17*(1+Cargo!$D$18)^(13-1),0)</f>
        <v>6.7503192291232246</v>
      </c>
      <c r="Q14" s="39">
        <f>IF(14&lt;=Cargo!$D$15,Vessel!$D$7*Fuel!$E$15*Fuel!$E$11/1000000*(1+Cargo!$D$18)^(14-1)+Fuel!$E$17*(1+Cargo!$D$18)^(14-1),0)</f>
        <v>6.8853256137056889</v>
      </c>
      <c r="R14" s="39">
        <f>IF(15&lt;=Cargo!$D$15,Vessel!$D$7*Fuel!$E$15*Fuel!$E$11/1000000*(1+Cargo!$D$18)^(15-1)+Fuel!$E$17*(1+Cargo!$D$18)^(15-1),0)</f>
        <v>7.0230321259798032</v>
      </c>
      <c r="S14" s="39">
        <f>IF(16&lt;=Cargo!$D$15,Vessel!$D$7*Fuel!$E$15*Fuel!$E$11/1000000*(1+Cargo!$D$18)^(16-1)+Fuel!$E$17*(1+Cargo!$D$18)^(16-1),0)</f>
        <v>7.1634927684993972</v>
      </c>
      <c r="T14" s="39">
        <f>IF(17&lt;=Cargo!$D$15,Vessel!$D$7*Fuel!$E$15*Fuel!$E$11/1000000*(1+Cargo!$D$18)^(17-1)+Fuel!$E$17*(1+Cargo!$D$18)^(17-1),0)</f>
        <v>7.3067626238693864</v>
      </c>
      <c r="U14" s="39">
        <f>IF(18&lt;=Cargo!$D$15,Vessel!$D$7*Fuel!$E$15*Fuel!$E$11/1000000*(1+Cargo!$D$18)^(18-1)+Fuel!$E$17*(1+Cargo!$D$18)^(18-1),0)</f>
        <v>7.4528978763467748</v>
      </c>
      <c r="V14" s="39">
        <f>IF(19&lt;=Cargo!$D$15,Vessel!$D$7*Fuel!$E$15*Fuel!$E$11/1000000*(1+Cargo!$D$18)^(19-1)+Fuel!$E$17*(1+Cargo!$D$18)^(19-1),0)</f>
        <v>7.601955833873709</v>
      </c>
      <c r="W14" s="39">
        <f>IF(20&lt;=Cargo!$D$15,Vessel!$D$7*Fuel!$E$15*Fuel!$E$11/1000000*(1+Cargo!$D$18)^(20-1)+Fuel!$E$17*(1+Cargo!$D$18)^(20-1),0)</f>
        <v>7.7539949505511832</v>
      </c>
      <c r="X14" s="39">
        <f>IF(21&lt;=Cargo!$D$15,Vessel!$D$7*Fuel!$E$15*Fuel!$E$11/1000000*(1+Cargo!$D$18)^(21-1)+Fuel!$E$17*(1+Cargo!$D$18)^(21-1),0)</f>
        <v>0</v>
      </c>
      <c r="Y14" s="39">
        <f>IF(22&lt;=Cargo!$D$15,Vessel!$D$7*Fuel!$E$15*Fuel!$E$11/1000000*(1+Cargo!$D$18)^(22-1)+Fuel!$E$17*(1+Cargo!$D$18)^(22-1),0)</f>
        <v>0</v>
      </c>
      <c r="Z14" s="39">
        <f>IF(23&lt;=Cargo!$D$15,Vessel!$D$7*Fuel!$E$15*Fuel!$E$11/1000000*(1+Cargo!$D$18)^(23-1)+Fuel!$E$17*(1+Cargo!$D$18)^(23-1),0)</f>
        <v>0</v>
      </c>
      <c r="AA14" s="39">
        <f>IF(24&lt;=Cargo!$D$15,Vessel!$D$7*Fuel!$E$15*Fuel!$E$11/1000000*(1+Cargo!$D$18)^(24-1)+Fuel!$E$17*(1+Cargo!$D$18)^(24-1),0)</f>
        <v>0</v>
      </c>
      <c r="AB14" s="39">
        <f>IF(25&lt;=Cargo!$D$15,Vessel!$D$7*Fuel!$E$15*Fuel!$E$11/1000000*(1+Cargo!$D$18)^(25-1)+Fuel!$E$17*(1+Cargo!$D$18)^(25-1),0)</f>
        <v>0</v>
      </c>
      <c r="AC14" s="39">
        <f>IF(26&lt;=Cargo!$D$15,Vessel!$D$7*Fuel!$E$15*Fuel!$E$11/1000000*(1+Cargo!$D$18)^(26-1)+Fuel!$E$17*(1+Cargo!$D$18)^(26-1),0)</f>
        <v>0</v>
      </c>
      <c r="AD14" s="39">
        <f>IF(27&lt;=Cargo!$D$15,Vessel!$D$7*Fuel!$E$15*Fuel!$E$11/1000000*(1+Cargo!$D$18)^(27-1)+Fuel!$E$17*(1+Cargo!$D$18)^(27-1),0)</f>
        <v>0</v>
      </c>
      <c r="AE14" s="39">
        <f>IF(28&lt;=Cargo!$D$15,Vessel!$D$7*Fuel!$E$15*Fuel!$E$11/1000000*(1+Cargo!$D$18)^(28-1)+Fuel!$E$17*(1+Cargo!$D$18)^(28-1),0)</f>
        <v>0</v>
      </c>
      <c r="AF14" s="39">
        <f>IF(29&lt;=Cargo!$D$15,Vessel!$D$7*Fuel!$E$15*Fuel!$E$11/1000000*(1+Cargo!$D$18)^(29-1)+Fuel!$E$17*(1+Cargo!$D$18)^(29-1),0)</f>
        <v>0</v>
      </c>
      <c r="AG14" s="39">
        <f>IF(30&lt;=Cargo!$D$15,Vessel!$D$7*Fuel!$E$15*Fuel!$E$11/1000000*(1+Cargo!$D$18)^(30-1)+Fuel!$E$17*(1+Cargo!$D$18)^(30-1),0)</f>
        <v>0</v>
      </c>
      <c r="AH14" s="39">
        <f>IF(31&lt;=Cargo!$D$15,Vessel!$D$7*Fuel!$E$15*Fuel!$E$11/1000000*(1+Cargo!$D$18)^(31-1)+Fuel!$E$17*(1+Cargo!$D$18)^(31-1),0)</f>
        <v>0</v>
      </c>
      <c r="AI14" s="39">
        <f>IF(32&lt;=Cargo!$D$15,Vessel!$D$7*Fuel!$E$15*Fuel!$E$11/1000000*(1+Cargo!$D$18)^(32-1)+Fuel!$E$17*(1+Cargo!$D$18)^(32-1),0)</f>
        <v>0</v>
      </c>
      <c r="AJ14" s="39">
        <f>IF(33&lt;=Cargo!$D$15,Vessel!$D$7*Fuel!$E$15*Fuel!$E$11/1000000*(1+Cargo!$D$18)^(33-1)+Fuel!$E$17*(1+Cargo!$D$18)^(33-1),0)</f>
        <v>0</v>
      </c>
      <c r="AK14" s="39">
        <f>IF(34&lt;=Cargo!$D$15,Vessel!$D$7*Fuel!$E$15*Fuel!$E$11/1000000*(1+Cargo!$D$18)^(34-1)+Fuel!$E$17*(1+Cargo!$D$18)^(34-1),0)</f>
        <v>0</v>
      </c>
      <c r="AL14" s="39">
        <f>IF(35&lt;=Cargo!$D$15,Vessel!$D$7*Fuel!$E$15*Fuel!$E$11/1000000*(1+Cargo!$D$18)^(35-1)+Fuel!$E$17*(1+Cargo!$D$18)^(35-1),0)</f>
        <v>0</v>
      </c>
      <c r="AM14" s="39">
        <f>IF(36&lt;=Cargo!$D$15,Vessel!$D$7*Fuel!$E$15*Fuel!$E$11/1000000*(1+Cargo!$D$18)^(36-1)+Fuel!$E$17*(1+Cargo!$D$18)^(36-1),0)</f>
        <v>0</v>
      </c>
      <c r="AN14" s="39">
        <f>IF(37&lt;=Cargo!$D$15,Vessel!$D$7*Fuel!$E$15*Fuel!$E$11/1000000*(1+Cargo!$D$18)^(37-1)+Fuel!$E$17*(1+Cargo!$D$18)^(37-1),0)</f>
        <v>0</v>
      </c>
      <c r="AO14" s="39">
        <f>IF(38&lt;=Cargo!$D$15,Vessel!$D$7*Fuel!$E$15*Fuel!$E$11/1000000*(1+Cargo!$D$18)^(38-1)+Fuel!$E$17*(1+Cargo!$D$18)^(38-1),0)</f>
        <v>0</v>
      </c>
      <c r="AP14" s="39">
        <f>IF(39&lt;=Cargo!$D$15,Vessel!$D$7*Fuel!$E$15*Fuel!$E$11/1000000*(1+Cargo!$D$18)^(39-1)+Fuel!$E$17*(1+Cargo!$D$18)^(39-1),0)</f>
        <v>0</v>
      </c>
      <c r="AQ14" s="39">
        <f>IF(40&lt;=Cargo!$D$15,Vessel!$D$7*Fuel!$E$15*Fuel!$E$11/1000000*(1+Cargo!$D$18)^(40-1)+Fuel!$E$17*(1+Cargo!$D$18)^(40-1),0)</f>
        <v>0</v>
      </c>
    </row>
    <row r="15" spans="2:43" ht="15" customHeight="1" x14ac:dyDescent="0.45">
      <c r="B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 spans="2:43" ht="15" customHeight="1" x14ac:dyDescent="0.45">
      <c r="B16" s="38" t="s">
        <v>113</v>
      </c>
      <c r="D16" s="39">
        <f>IF(1&lt;=Cargo!$D$15,IF(1=1,Port!$E$8,0),0)</f>
        <v>12</v>
      </c>
      <c r="E16" s="39">
        <f>IF(2&lt;=Cargo!$D$15,IF(2=1,Port!$E$8,0),0)</f>
        <v>0</v>
      </c>
      <c r="F16" s="39">
        <f>IF(3&lt;=Cargo!$D$15,IF(3=1,Port!$E$8,0),0)</f>
        <v>0</v>
      </c>
      <c r="G16" s="39">
        <f>IF(4&lt;=Cargo!$D$15,IF(4=1,Port!$E$8,0),0)</f>
        <v>0</v>
      </c>
      <c r="H16" s="39">
        <f>IF(5&lt;=Cargo!$D$15,IF(5=1,Port!$E$8,0),0)</f>
        <v>0</v>
      </c>
      <c r="I16" s="39">
        <f>IF(6&lt;=Cargo!$D$15,IF(6=1,Port!$E$8,0),0)</f>
        <v>0</v>
      </c>
      <c r="J16" s="39">
        <f>IF(7&lt;=Cargo!$D$15,IF(7=1,Port!$E$8,0),0)</f>
        <v>0</v>
      </c>
      <c r="K16" s="39">
        <f>IF(8&lt;=Cargo!$D$15,IF(8=1,Port!$E$8,0),0)</f>
        <v>0</v>
      </c>
      <c r="L16" s="39">
        <f>IF(9&lt;=Cargo!$D$15,IF(9=1,Port!$E$8,0),0)</f>
        <v>0</v>
      </c>
      <c r="M16" s="39">
        <f>IF(10&lt;=Cargo!$D$15,IF(10=1,Port!$E$8,0),0)</f>
        <v>0</v>
      </c>
      <c r="N16" s="39">
        <f>IF(11&lt;=Cargo!$D$15,IF(11=1,Port!$E$8,0),0)</f>
        <v>0</v>
      </c>
      <c r="O16" s="39">
        <f>IF(12&lt;=Cargo!$D$15,IF(12=1,Port!$E$8,0),0)</f>
        <v>0</v>
      </c>
      <c r="P16" s="39">
        <f>IF(13&lt;=Cargo!$D$15,IF(13=1,Port!$E$8,0),0)</f>
        <v>0</v>
      </c>
      <c r="Q16" s="39">
        <f>IF(14&lt;=Cargo!$D$15,IF(14=1,Port!$E$8,0),0)</f>
        <v>0</v>
      </c>
      <c r="R16" s="39">
        <f>IF(15&lt;=Cargo!$D$15,IF(15=1,Port!$E$8,0),0)</f>
        <v>0</v>
      </c>
      <c r="S16" s="39">
        <f>IF(16&lt;=Cargo!$D$15,IF(16=1,Port!$E$8,0),0)</f>
        <v>0</v>
      </c>
      <c r="T16" s="39">
        <f>IF(17&lt;=Cargo!$D$15,IF(17=1,Port!$E$8,0),0)</f>
        <v>0</v>
      </c>
      <c r="U16" s="39">
        <f>IF(18&lt;=Cargo!$D$15,IF(18=1,Port!$E$8,0),0)</f>
        <v>0</v>
      </c>
      <c r="V16" s="39">
        <f>IF(19&lt;=Cargo!$D$15,IF(19=1,Port!$E$8,0),0)</f>
        <v>0</v>
      </c>
      <c r="W16" s="39">
        <f>IF(20&lt;=Cargo!$D$15,IF(20=1,Port!$E$8,0),0)</f>
        <v>0</v>
      </c>
      <c r="X16" s="39">
        <f>IF(21&lt;=Cargo!$D$15,IF(21=1,Port!$E$8,0),0)</f>
        <v>0</v>
      </c>
      <c r="Y16" s="39">
        <f>IF(22&lt;=Cargo!$D$15,IF(22=1,Port!$E$8,0),0)</f>
        <v>0</v>
      </c>
      <c r="Z16" s="39">
        <f>IF(23&lt;=Cargo!$D$15,IF(23=1,Port!$E$8,0),0)</f>
        <v>0</v>
      </c>
      <c r="AA16" s="39">
        <f>IF(24&lt;=Cargo!$D$15,IF(24=1,Port!$E$8,0),0)</f>
        <v>0</v>
      </c>
      <c r="AB16" s="39">
        <f>IF(25&lt;=Cargo!$D$15,IF(25=1,Port!$E$8,0),0)</f>
        <v>0</v>
      </c>
      <c r="AC16" s="39">
        <f>IF(26&lt;=Cargo!$D$15,IF(26=1,Port!$E$8,0),0)</f>
        <v>0</v>
      </c>
      <c r="AD16" s="39">
        <f>IF(27&lt;=Cargo!$D$15,IF(27=1,Port!$E$8,0),0)</f>
        <v>0</v>
      </c>
      <c r="AE16" s="39">
        <f>IF(28&lt;=Cargo!$D$15,IF(28=1,Port!$E$8,0),0)</f>
        <v>0</v>
      </c>
      <c r="AF16" s="39">
        <f>IF(29&lt;=Cargo!$D$15,IF(29=1,Port!$E$8,0),0)</f>
        <v>0</v>
      </c>
      <c r="AG16" s="39">
        <f>IF(30&lt;=Cargo!$D$15,IF(30=1,Port!$E$8,0),0)</f>
        <v>0</v>
      </c>
      <c r="AH16" s="39">
        <f>IF(31&lt;=Cargo!$D$15,IF(31=1,Port!$E$8,0),0)</f>
        <v>0</v>
      </c>
      <c r="AI16" s="39">
        <f>IF(32&lt;=Cargo!$D$15,IF(32=1,Port!$E$8,0),0)</f>
        <v>0</v>
      </c>
      <c r="AJ16" s="39">
        <f>IF(33&lt;=Cargo!$D$15,IF(33=1,Port!$E$8,0),0)</f>
        <v>0</v>
      </c>
      <c r="AK16" s="39">
        <f>IF(34&lt;=Cargo!$D$15,IF(34=1,Port!$E$8,0),0)</f>
        <v>0</v>
      </c>
      <c r="AL16" s="39">
        <f>IF(35&lt;=Cargo!$D$15,IF(35=1,Port!$E$8,0),0)</f>
        <v>0</v>
      </c>
      <c r="AM16" s="39">
        <f>IF(36&lt;=Cargo!$D$15,IF(36=1,Port!$E$8,0),0)</f>
        <v>0</v>
      </c>
      <c r="AN16" s="39">
        <f>IF(37&lt;=Cargo!$D$15,IF(37=1,Port!$E$8,0),0)</f>
        <v>0</v>
      </c>
      <c r="AO16" s="39">
        <f>IF(38&lt;=Cargo!$D$15,IF(38=1,Port!$E$8,0),0)</f>
        <v>0</v>
      </c>
      <c r="AP16" s="39">
        <f>IF(39&lt;=Cargo!$D$15,IF(39=1,Port!$E$8,0),0)</f>
        <v>0</v>
      </c>
      <c r="AQ16" s="39">
        <f>IF(40&lt;=Cargo!$D$15,IF(40=1,Port!$E$8,0),0)</f>
        <v>0</v>
      </c>
    </row>
    <row r="17" spans="2:43" ht="15" customHeight="1" x14ac:dyDescent="0.45">
      <c r="B17" s="38" t="s">
        <v>114</v>
      </c>
      <c r="D17" s="39">
        <f>IF(1&lt;=Cargo!$D$15,Port!$E$9*(1+Cargo!$D$18)^(1-1),0)</f>
        <v>0.5</v>
      </c>
      <c r="E17" s="39">
        <f>IF(2&lt;=Cargo!$D$15,Port!$E$9*(1+Cargo!$D$18)^(2-1),0)</f>
        <v>0.51</v>
      </c>
      <c r="F17" s="39">
        <f>IF(3&lt;=Cargo!$D$15,Port!$E$9*(1+Cargo!$D$18)^(3-1),0)</f>
        <v>0.5202</v>
      </c>
      <c r="G17" s="39">
        <f>IF(4&lt;=Cargo!$D$15,Port!$E$9*(1+Cargo!$D$18)^(4-1),0)</f>
        <v>0.53060399999999996</v>
      </c>
      <c r="H17" s="39">
        <f>IF(5&lt;=Cargo!$D$15,Port!$E$9*(1+Cargo!$D$18)^(5-1),0)</f>
        <v>0.54121607999999999</v>
      </c>
      <c r="I17" s="39">
        <f>IF(6&lt;=Cargo!$D$15,Port!$E$9*(1+Cargo!$D$18)^(6-1),0)</f>
        <v>0.55204040160000001</v>
      </c>
      <c r="J17" s="39">
        <f>IF(7&lt;=Cargo!$D$15,Port!$E$9*(1+Cargo!$D$18)^(7-1),0)</f>
        <v>0.56308120963200003</v>
      </c>
      <c r="K17" s="39">
        <f>IF(8&lt;=Cargo!$D$15,Port!$E$9*(1+Cargo!$D$18)^(8-1),0)</f>
        <v>0.57434283382463991</v>
      </c>
      <c r="L17" s="39">
        <f>IF(9&lt;=Cargo!$D$15,Port!$E$9*(1+Cargo!$D$18)^(9-1),0)</f>
        <v>0.58582969050113276</v>
      </c>
      <c r="M17" s="39">
        <f>IF(10&lt;=Cargo!$D$15,Port!$E$9*(1+Cargo!$D$18)^(10-1),0)</f>
        <v>0.59754628431115542</v>
      </c>
      <c r="N17" s="39">
        <f>IF(11&lt;=Cargo!$D$15,Port!$E$9*(1+Cargo!$D$18)^(11-1),0)</f>
        <v>0.60949720999737855</v>
      </c>
      <c r="O17" s="39">
        <f>IF(12&lt;=Cargo!$D$15,Port!$E$9*(1+Cargo!$D$18)^(12-1),0)</f>
        <v>0.62168715419732601</v>
      </c>
      <c r="P17" s="39">
        <f>IF(13&lt;=Cargo!$D$15,Port!$E$9*(1+Cargo!$D$18)^(13-1),0)</f>
        <v>0.63412089728127263</v>
      </c>
      <c r="Q17" s="39">
        <f>IF(14&lt;=Cargo!$D$15,Port!$E$9*(1+Cargo!$D$18)^(14-1),0)</f>
        <v>0.64680331522689805</v>
      </c>
      <c r="R17" s="39">
        <f>IF(15&lt;=Cargo!$D$15,Port!$E$9*(1+Cargo!$D$18)^(15-1),0)</f>
        <v>0.65973938153143608</v>
      </c>
      <c r="S17" s="39">
        <f>IF(16&lt;=Cargo!$D$15,Port!$E$9*(1+Cargo!$D$18)^(16-1),0)</f>
        <v>0.67293416916206461</v>
      </c>
      <c r="T17" s="39">
        <f>IF(17&lt;=Cargo!$D$15,Port!$E$9*(1+Cargo!$D$18)^(17-1),0)</f>
        <v>0.68639285254530602</v>
      </c>
      <c r="U17" s="39">
        <f>IF(18&lt;=Cargo!$D$15,Port!$E$9*(1+Cargo!$D$18)^(18-1),0)</f>
        <v>0.7001207095962122</v>
      </c>
      <c r="V17" s="39">
        <f>IF(19&lt;=Cargo!$D$15,Port!$E$9*(1+Cargo!$D$18)^(19-1),0)</f>
        <v>0.71412312378813636</v>
      </c>
      <c r="W17" s="39">
        <f>IF(20&lt;=Cargo!$D$15,Port!$E$9*(1+Cargo!$D$18)^(20-1),0)</f>
        <v>0.72840558626389906</v>
      </c>
      <c r="X17" s="39">
        <f>IF(21&lt;=Cargo!$D$15,Port!$E$9*(1+Cargo!$D$18)^(21-1),0)</f>
        <v>0</v>
      </c>
      <c r="Y17" s="39">
        <f>IF(22&lt;=Cargo!$D$15,Port!$E$9*(1+Cargo!$D$18)^(22-1),0)</f>
        <v>0</v>
      </c>
      <c r="Z17" s="39">
        <f>IF(23&lt;=Cargo!$D$15,Port!$E$9*(1+Cargo!$D$18)^(23-1),0)</f>
        <v>0</v>
      </c>
      <c r="AA17" s="39">
        <f>IF(24&lt;=Cargo!$D$15,Port!$E$9*(1+Cargo!$D$18)^(24-1),0)</f>
        <v>0</v>
      </c>
      <c r="AB17" s="39">
        <f>IF(25&lt;=Cargo!$D$15,Port!$E$9*(1+Cargo!$D$18)^(25-1),0)</f>
        <v>0</v>
      </c>
      <c r="AC17" s="39">
        <f>IF(26&lt;=Cargo!$D$15,Port!$E$9*(1+Cargo!$D$18)^(26-1),0)</f>
        <v>0</v>
      </c>
      <c r="AD17" s="39">
        <f>IF(27&lt;=Cargo!$D$15,Port!$E$9*(1+Cargo!$D$18)^(27-1),0)</f>
        <v>0</v>
      </c>
      <c r="AE17" s="39">
        <f>IF(28&lt;=Cargo!$D$15,Port!$E$9*(1+Cargo!$D$18)^(28-1),0)</f>
        <v>0</v>
      </c>
      <c r="AF17" s="39">
        <f>IF(29&lt;=Cargo!$D$15,Port!$E$9*(1+Cargo!$D$18)^(29-1),0)</f>
        <v>0</v>
      </c>
      <c r="AG17" s="39">
        <f>IF(30&lt;=Cargo!$D$15,Port!$E$9*(1+Cargo!$D$18)^(30-1),0)</f>
        <v>0</v>
      </c>
      <c r="AH17" s="39">
        <f>IF(31&lt;=Cargo!$D$15,Port!$E$9*(1+Cargo!$D$18)^(31-1),0)</f>
        <v>0</v>
      </c>
      <c r="AI17" s="39">
        <f>IF(32&lt;=Cargo!$D$15,Port!$E$9*(1+Cargo!$D$18)^(32-1),0)</f>
        <v>0</v>
      </c>
      <c r="AJ17" s="39">
        <f>IF(33&lt;=Cargo!$D$15,Port!$E$9*(1+Cargo!$D$18)^(33-1),0)</f>
        <v>0</v>
      </c>
      <c r="AK17" s="39">
        <f>IF(34&lt;=Cargo!$D$15,Port!$E$9*(1+Cargo!$D$18)^(34-1),0)</f>
        <v>0</v>
      </c>
      <c r="AL17" s="39">
        <f>IF(35&lt;=Cargo!$D$15,Port!$E$9*(1+Cargo!$D$18)^(35-1),0)</f>
        <v>0</v>
      </c>
      <c r="AM17" s="39">
        <f>IF(36&lt;=Cargo!$D$15,Port!$E$9*(1+Cargo!$D$18)^(36-1),0)</f>
        <v>0</v>
      </c>
      <c r="AN17" s="39">
        <f>IF(37&lt;=Cargo!$D$15,Port!$E$9*(1+Cargo!$D$18)^(37-1),0)</f>
        <v>0</v>
      </c>
      <c r="AO17" s="39">
        <f>IF(38&lt;=Cargo!$D$15,Port!$E$9*(1+Cargo!$D$18)^(38-1),0)</f>
        <v>0</v>
      </c>
      <c r="AP17" s="39">
        <f>IF(39&lt;=Cargo!$D$15,Port!$E$9*(1+Cargo!$D$18)^(39-1),0)</f>
        <v>0</v>
      </c>
      <c r="AQ17" s="39">
        <f>IF(40&lt;=Cargo!$D$15,Port!$E$9*(1+Cargo!$D$18)^(40-1),0)</f>
        <v>0</v>
      </c>
    </row>
    <row r="18" spans="2:43" ht="15" customHeight="1" x14ac:dyDescent="0.45">
      <c r="B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</row>
    <row r="19" spans="2:43" ht="15" customHeight="1" x14ac:dyDescent="0.45">
      <c r="B19" s="38" t="s">
        <v>115</v>
      </c>
      <c r="D19" s="39">
        <f>IF(1&lt;=Cargo!$D$15,IF(1=1,Port!$E$11,0),0)</f>
        <v>5</v>
      </c>
      <c r="E19" s="39">
        <f>IF(2&lt;=Cargo!$D$15,IF(2=1,Port!$E$11,0),0)</f>
        <v>0</v>
      </c>
      <c r="F19" s="39">
        <f>IF(3&lt;=Cargo!$D$15,IF(3=1,Port!$E$11,0),0)</f>
        <v>0</v>
      </c>
      <c r="G19" s="39">
        <f>IF(4&lt;=Cargo!$D$15,IF(4=1,Port!$E$11,0),0)</f>
        <v>0</v>
      </c>
      <c r="H19" s="39">
        <f>IF(5&lt;=Cargo!$D$15,IF(5=1,Port!$E$11,0),0)</f>
        <v>0</v>
      </c>
      <c r="I19" s="39">
        <f>IF(6&lt;=Cargo!$D$15,IF(6=1,Port!$E$11,0),0)</f>
        <v>0</v>
      </c>
      <c r="J19" s="39">
        <f>IF(7&lt;=Cargo!$D$15,IF(7=1,Port!$E$11,0),0)</f>
        <v>0</v>
      </c>
      <c r="K19" s="39">
        <f>IF(8&lt;=Cargo!$D$15,IF(8=1,Port!$E$11,0),0)</f>
        <v>0</v>
      </c>
      <c r="L19" s="39">
        <f>IF(9&lt;=Cargo!$D$15,IF(9=1,Port!$E$11,0),0)</f>
        <v>0</v>
      </c>
      <c r="M19" s="39">
        <f>IF(10&lt;=Cargo!$D$15,IF(10=1,Port!$E$11,0),0)</f>
        <v>0</v>
      </c>
      <c r="N19" s="39">
        <f>IF(11&lt;=Cargo!$D$15,IF(11=1,Port!$E$11,0),0)</f>
        <v>0</v>
      </c>
      <c r="O19" s="39">
        <f>IF(12&lt;=Cargo!$D$15,IF(12=1,Port!$E$11,0),0)</f>
        <v>0</v>
      </c>
      <c r="P19" s="39">
        <f>IF(13&lt;=Cargo!$D$15,IF(13=1,Port!$E$11,0),0)</f>
        <v>0</v>
      </c>
      <c r="Q19" s="39">
        <f>IF(14&lt;=Cargo!$D$15,IF(14=1,Port!$E$11,0),0)</f>
        <v>0</v>
      </c>
      <c r="R19" s="39">
        <f>IF(15&lt;=Cargo!$D$15,IF(15=1,Port!$E$11,0),0)</f>
        <v>0</v>
      </c>
      <c r="S19" s="39">
        <f>IF(16&lt;=Cargo!$D$15,IF(16=1,Port!$E$11,0),0)</f>
        <v>0</v>
      </c>
      <c r="T19" s="39">
        <f>IF(17&lt;=Cargo!$D$15,IF(17=1,Port!$E$11,0),0)</f>
        <v>0</v>
      </c>
      <c r="U19" s="39">
        <f>IF(18&lt;=Cargo!$D$15,IF(18=1,Port!$E$11,0),0)</f>
        <v>0</v>
      </c>
      <c r="V19" s="39">
        <f>IF(19&lt;=Cargo!$D$15,IF(19=1,Port!$E$11,0),0)</f>
        <v>0</v>
      </c>
      <c r="W19" s="39">
        <f>IF(20&lt;=Cargo!$D$15,IF(20=1,Port!$E$11,0),0)</f>
        <v>0</v>
      </c>
      <c r="X19" s="39">
        <f>IF(21&lt;=Cargo!$D$15,IF(21=1,Port!$E$11,0),0)</f>
        <v>0</v>
      </c>
      <c r="Y19" s="39">
        <f>IF(22&lt;=Cargo!$D$15,IF(22=1,Port!$E$11,0),0)</f>
        <v>0</v>
      </c>
      <c r="Z19" s="39">
        <f>IF(23&lt;=Cargo!$D$15,IF(23=1,Port!$E$11,0),0)</f>
        <v>0</v>
      </c>
      <c r="AA19" s="39">
        <f>IF(24&lt;=Cargo!$D$15,IF(24=1,Port!$E$11,0),0)</f>
        <v>0</v>
      </c>
      <c r="AB19" s="39">
        <f>IF(25&lt;=Cargo!$D$15,IF(25=1,Port!$E$11,0),0)</f>
        <v>0</v>
      </c>
      <c r="AC19" s="39">
        <f>IF(26&lt;=Cargo!$D$15,IF(26=1,Port!$E$11,0),0)</f>
        <v>0</v>
      </c>
      <c r="AD19" s="39">
        <f>IF(27&lt;=Cargo!$D$15,IF(27=1,Port!$E$11,0),0)</f>
        <v>0</v>
      </c>
      <c r="AE19" s="39">
        <f>IF(28&lt;=Cargo!$D$15,IF(28=1,Port!$E$11,0),0)</f>
        <v>0</v>
      </c>
      <c r="AF19" s="39">
        <f>IF(29&lt;=Cargo!$D$15,IF(29=1,Port!$E$11,0),0)</f>
        <v>0</v>
      </c>
      <c r="AG19" s="39">
        <f>IF(30&lt;=Cargo!$D$15,IF(30=1,Port!$E$11,0),0)</f>
        <v>0</v>
      </c>
      <c r="AH19" s="39">
        <f>IF(31&lt;=Cargo!$D$15,IF(31=1,Port!$E$11,0),0)</f>
        <v>0</v>
      </c>
      <c r="AI19" s="39">
        <f>IF(32&lt;=Cargo!$D$15,IF(32=1,Port!$E$11,0),0)</f>
        <v>0</v>
      </c>
      <c r="AJ19" s="39">
        <f>IF(33&lt;=Cargo!$D$15,IF(33=1,Port!$E$11,0),0)</f>
        <v>0</v>
      </c>
      <c r="AK19" s="39">
        <f>IF(34&lt;=Cargo!$D$15,IF(34=1,Port!$E$11,0),0)</f>
        <v>0</v>
      </c>
      <c r="AL19" s="39">
        <f>IF(35&lt;=Cargo!$D$15,IF(35=1,Port!$E$11,0),0)</f>
        <v>0</v>
      </c>
      <c r="AM19" s="39">
        <f>IF(36&lt;=Cargo!$D$15,IF(36=1,Port!$E$11,0),0)</f>
        <v>0</v>
      </c>
      <c r="AN19" s="39">
        <f>IF(37&lt;=Cargo!$D$15,IF(37=1,Port!$E$11,0),0)</f>
        <v>0</v>
      </c>
      <c r="AO19" s="39">
        <f>IF(38&lt;=Cargo!$D$15,IF(38=1,Port!$E$11,0),0)</f>
        <v>0</v>
      </c>
      <c r="AP19" s="39">
        <f>IF(39&lt;=Cargo!$D$15,IF(39=1,Port!$E$11,0),0)</f>
        <v>0</v>
      </c>
      <c r="AQ19" s="39">
        <f>IF(40&lt;=Cargo!$D$15,IF(40=1,Port!$E$11,0),0)</f>
        <v>0</v>
      </c>
    </row>
    <row r="20" spans="2:43" ht="15" customHeight="1" x14ac:dyDescent="0.45">
      <c r="B20" s="38" t="s">
        <v>116</v>
      </c>
      <c r="D20" s="39">
        <f>IF(1&lt;=Cargo!$D$15,Port!$E$12*(1+Cargo!$D$18)^(1-1),0)</f>
        <v>0.3</v>
      </c>
      <c r="E20" s="39">
        <f>IF(2&lt;=Cargo!$D$15,Port!$E$12*(1+Cargo!$D$18)^(2-1),0)</f>
        <v>0.30599999999999999</v>
      </c>
      <c r="F20" s="39">
        <f>IF(3&lt;=Cargo!$D$15,Port!$E$12*(1+Cargo!$D$18)^(3-1),0)</f>
        <v>0.31212000000000001</v>
      </c>
      <c r="G20" s="39">
        <f>IF(4&lt;=Cargo!$D$15,Port!$E$12*(1+Cargo!$D$18)^(4-1),0)</f>
        <v>0.31836239999999999</v>
      </c>
      <c r="H20" s="39">
        <f>IF(5&lt;=Cargo!$D$15,Port!$E$12*(1+Cargo!$D$18)^(5-1),0)</f>
        <v>0.32472964799999998</v>
      </c>
      <c r="I20" s="39">
        <f>IF(6&lt;=Cargo!$D$15,Port!$E$12*(1+Cargo!$D$18)^(6-1),0)</f>
        <v>0.33122424095999997</v>
      </c>
      <c r="J20" s="39">
        <f>IF(7&lt;=Cargo!$D$15,Port!$E$12*(1+Cargo!$D$18)^(7-1),0)</f>
        <v>0.3378487257792</v>
      </c>
      <c r="K20" s="39">
        <f>IF(8&lt;=Cargo!$D$15,Port!$E$12*(1+Cargo!$D$18)^(8-1),0)</f>
        <v>0.34460570029478393</v>
      </c>
      <c r="L20" s="39">
        <f>IF(9&lt;=Cargo!$D$15,Port!$E$12*(1+Cargo!$D$18)^(9-1),0)</f>
        <v>0.35149781430067967</v>
      </c>
      <c r="M20" s="39">
        <f>IF(10&lt;=Cargo!$D$15,Port!$E$12*(1+Cargo!$D$18)^(10-1),0)</f>
        <v>0.35852777058669322</v>
      </c>
      <c r="N20" s="39">
        <f>IF(11&lt;=Cargo!$D$15,Port!$E$12*(1+Cargo!$D$18)^(11-1),0)</f>
        <v>0.36569832599842711</v>
      </c>
      <c r="O20" s="39">
        <f>IF(12&lt;=Cargo!$D$15,Port!$E$12*(1+Cargo!$D$18)^(12-1),0)</f>
        <v>0.37301229251839557</v>
      </c>
      <c r="P20" s="39">
        <f>IF(13&lt;=Cargo!$D$15,Port!$E$12*(1+Cargo!$D$18)^(13-1),0)</f>
        <v>0.38047253836876355</v>
      </c>
      <c r="Q20" s="39">
        <f>IF(14&lt;=Cargo!$D$15,Port!$E$12*(1+Cargo!$D$18)^(14-1),0)</f>
        <v>0.38808198913613884</v>
      </c>
      <c r="R20" s="39">
        <f>IF(15&lt;=Cargo!$D$15,Port!$E$12*(1+Cargo!$D$18)^(15-1),0)</f>
        <v>0.39584362891886166</v>
      </c>
      <c r="S20" s="39">
        <f>IF(16&lt;=Cargo!$D$15,Port!$E$12*(1+Cargo!$D$18)^(16-1),0)</f>
        <v>0.40376050149723874</v>
      </c>
      <c r="T20" s="39">
        <f>IF(17&lt;=Cargo!$D$15,Port!$E$12*(1+Cargo!$D$18)^(17-1),0)</f>
        <v>0.41183571152718362</v>
      </c>
      <c r="U20" s="39">
        <f>IF(18&lt;=Cargo!$D$15,Port!$E$12*(1+Cargo!$D$18)^(18-1),0)</f>
        <v>0.4200724257577273</v>
      </c>
      <c r="V20" s="39">
        <f>IF(19&lt;=Cargo!$D$15,Port!$E$12*(1+Cargo!$D$18)^(19-1),0)</f>
        <v>0.42847387427288181</v>
      </c>
      <c r="W20" s="39">
        <f>IF(20&lt;=Cargo!$D$15,Port!$E$12*(1+Cargo!$D$18)^(20-1),0)</f>
        <v>0.43704335175833942</v>
      </c>
      <c r="X20" s="39">
        <f>IF(21&lt;=Cargo!$D$15,Port!$E$12*(1+Cargo!$D$18)^(21-1),0)</f>
        <v>0</v>
      </c>
      <c r="Y20" s="39">
        <f>IF(22&lt;=Cargo!$D$15,Port!$E$12*(1+Cargo!$D$18)^(22-1),0)</f>
        <v>0</v>
      </c>
      <c r="Z20" s="39">
        <f>IF(23&lt;=Cargo!$D$15,Port!$E$12*(1+Cargo!$D$18)^(23-1),0)</f>
        <v>0</v>
      </c>
      <c r="AA20" s="39">
        <f>IF(24&lt;=Cargo!$D$15,Port!$E$12*(1+Cargo!$D$18)^(24-1),0)</f>
        <v>0</v>
      </c>
      <c r="AB20" s="39">
        <f>IF(25&lt;=Cargo!$D$15,Port!$E$12*(1+Cargo!$D$18)^(25-1),0)</f>
        <v>0</v>
      </c>
      <c r="AC20" s="39">
        <f>IF(26&lt;=Cargo!$D$15,Port!$E$12*(1+Cargo!$D$18)^(26-1),0)</f>
        <v>0</v>
      </c>
      <c r="AD20" s="39">
        <f>IF(27&lt;=Cargo!$D$15,Port!$E$12*(1+Cargo!$D$18)^(27-1),0)</f>
        <v>0</v>
      </c>
      <c r="AE20" s="39">
        <f>IF(28&lt;=Cargo!$D$15,Port!$E$12*(1+Cargo!$D$18)^(28-1),0)</f>
        <v>0</v>
      </c>
      <c r="AF20" s="39">
        <f>IF(29&lt;=Cargo!$D$15,Port!$E$12*(1+Cargo!$D$18)^(29-1),0)</f>
        <v>0</v>
      </c>
      <c r="AG20" s="39">
        <f>IF(30&lt;=Cargo!$D$15,Port!$E$12*(1+Cargo!$D$18)^(30-1),0)</f>
        <v>0</v>
      </c>
      <c r="AH20" s="39">
        <f>IF(31&lt;=Cargo!$D$15,Port!$E$12*(1+Cargo!$D$18)^(31-1),0)</f>
        <v>0</v>
      </c>
      <c r="AI20" s="39">
        <f>IF(32&lt;=Cargo!$D$15,Port!$E$12*(1+Cargo!$D$18)^(32-1),0)</f>
        <v>0</v>
      </c>
      <c r="AJ20" s="39">
        <f>IF(33&lt;=Cargo!$D$15,Port!$E$12*(1+Cargo!$D$18)^(33-1),0)</f>
        <v>0</v>
      </c>
      <c r="AK20" s="39">
        <f>IF(34&lt;=Cargo!$D$15,Port!$E$12*(1+Cargo!$D$18)^(34-1),0)</f>
        <v>0</v>
      </c>
      <c r="AL20" s="39">
        <f>IF(35&lt;=Cargo!$D$15,Port!$E$12*(1+Cargo!$D$18)^(35-1),0)</f>
        <v>0</v>
      </c>
      <c r="AM20" s="39">
        <f>IF(36&lt;=Cargo!$D$15,Port!$E$12*(1+Cargo!$D$18)^(36-1),0)</f>
        <v>0</v>
      </c>
      <c r="AN20" s="39">
        <f>IF(37&lt;=Cargo!$D$15,Port!$E$12*(1+Cargo!$D$18)^(37-1),0)</f>
        <v>0</v>
      </c>
      <c r="AO20" s="39">
        <f>IF(38&lt;=Cargo!$D$15,Port!$E$12*(1+Cargo!$D$18)^(38-1),0)</f>
        <v>0</v>
      </c>
      <c r="AP20" s="39">
        <f>IF(39&lt;=Cargo!$D$15,Port!$E$12*(1+Cargo!$D$18)^(39-1),0)</f>
        <v>0</v>
      </c>
      <c r="AQ20" s="39">
        <f>IF(40&lt;=Cargo!$D$15,Port!$E$12*(1+Cargo!$D$18)^(40-1),0)</f>
        <v>0</v>
      </c>
    </row>
    <row r="21" spans="2:43" ht="15" customHeight="1" x14ac:dyDescent="0.45">
      <c r="B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pans="2:43" ht="15" customHeight="1" x14ac:dyDescent="0.45">
      <c r="B22" s="38" t="s">
        <v>117</v>
      </c>
      <c r="D22" s="39">
        <f>IF(1&lt;=Cargo!$D$15,IF(1=1,Vessel!$E$12,0),0)</f>
        <v>25</v>
      </c>
      <c r="E22" s="39">
        <f>IF(2&lt;=Cargo!$D$15,IF(2=1,Vessel!$E$12,0),0)</f>
        <v>0</v>
      </c>
      <c r="F22" s="39">
        <f>IF(3&lt;=Cargo!$D$15,IF(3=1,Vessel!$E$12,0),0)</f>
        <v>0</v>
      </c>
      <c r="G22" s="39">
        <f>IF(4&lt;=Cargo!$D$15,IF(4=1,Vessel!$E$12,0),0)</f>
        <v>0</v>
      </c>
      <c r="H22" s="39">
        <f>IF(5&lt;=Cargo!$D$15,IF(5=1,Vessel!$E$12,0),0)</f>
        <v>0</v>
      </c>
      <c r="I22" s="39">
        <f>IF(6&lt;=Cargo!$D$15,IF(6=1,Vessel!$E$12,0),0)</f>
        <v>0</v>
      </c>
      <c r="J22" s="39">
        <f>IF(7&lt;=Cargo!$D$15,IF(7=1,Vessel!$E$12,0),0)</f>
        <v>0</v>
      </c>
      <c r="K22" s="39">
        <f>IF(8&lt;=Cargo!$D$15,IF(8=1,Vessel!$E$12,0),0)</f>
        <v>0</v>
      </c>
      <c r="L22" s="39">
        <f>IF(9&lt;=Cargo!$D$15,IF(9=1,Vessel!$E$12,0),0)</f>
        <v>0</v>
      </c>
      <c r="M22" s="39">
        <f>IF(10&lt;=Cargo!$D$15,IF(10=1,Vessel!$E$12,0),0)</f>
        <v>0</v>
      </c>
      <c r="N22" s="39">
        <f>IF(11&lt;=Cargo!$D$15,IF(11=1,Vessel!$E$12,0),0)</f>
        <v>0</v>
      </c>
      <c r="O22" s="39">
        <f>IF(12&lt;=Cargo!$D$15,IF(12=1,Vessel!$E$12,0),0)</f>
        <v>0</v>
      </c>
      <c r="P22" s="39">
        <f>IF(13&lt;=Cargo!$D$15,IF(13=1,Vessel!$E$12,0),0)</f>
        <v>0</v>
      </c>
      <c r="Q22" s="39">
        <f>IF(14&lt;=Cargo!$D$15,IF(14=1,Vessel!$E$12,0),0)</f>
        <v>0</v>
      </c>
      <c r="R22" s="39">
        <f>IF(15&lt;=Cargo!$D$15,IF(15=1,Vessel!$E$12,0),0)</f>
        <v>0</v>
      </c>
      <c r="S22" s="39">
        <f>IF(16&lt;=Cargo!$D$15,IF(16=1,Vessel!$E$12,0),0)</f>
        <v>0</v>
      </c>
      <c r="T22" s="39">
        <f>IF(17&lt;=Cargo!$D$15,IF(17=1,Vessel!$E$12,0),0)</f>
        <v>0</v>
      </c>
      <c r="U22" s="39">
        <f>IF(18&lt;=Cargo!$D$15,IF(18=1,Vessel!$E$12,0),0)</f>
        <v>0</v>
      </c>
      <c r="V22" s="39">
        <f>IF(19&lt;=Cargo!$D$15,IF(19=1,Vessel!$E$12,0),0)</f>
        <v>0</v>
      </c>
      <c r="W22" s="39">
        <f>IF(20&lt;=Cargo!$D$15,IF(20=1,Vessel!$E$12,0),0)</f>
        <v>0</v>
      </c>
      <c r="X22" s="39">
        <f>IF(21&lt;=Cargo!$D$15,IF(21=1,Vessel!$E$12,0),0)</f>
        <v>0</v>
      </c>
      <c r="Y22" s="39">
        <f>IF(22&lt;=Cargo!$D$15,IF(22=1,Vessel!$E$12,0),0)</f>
        <v>0</v>
      </c>
      <c r="Z22" s="39">
        <f>IF(23&lt;=Cargo!$D$15,IF(23=1,Vessel!$E$12,0),0)</f>
        <v>0</v>
      </c>
      <c r="AA22" s="39">
        <f>IF(24&lt;=Cargo!$D$15,IF(24=1,Vessel!$E$12,0),0)</f>
        <v>0</v>
      </c>
      <c r="AB22" s="39">
        <f>IF(25&lt;=Cargo!$D$15,IF(25=1,Vessel!$E$12,0),0)</f>
        <v>0</v>
      </c>
      <c r="AC22" s="39">
        <f>IF(26&lt;=Cargo!$D$15,IF(26=1,Vessel!$E$12,0),0)</f>
        <v>0</v>
      </c>
      <c r="AD22" s="39">
        <f>IF(27&lt;=Cargo!$D$15,IF(27=1,Vessel!$E$12,0),0)</f>
        <v>0</v>
      </c>
      <c r="AE22" s="39">
        <f>IF(28&lt;=Cargo!$D$15,IF(28=1,Vessel!$E$12,0),0)</f>
        <v>0</v>
      </c>
      <c r="AF22" s="39">
        <f>IF(29&lt;=Cargo!$D$15,IF(29=1,Vessel!$E$12,0),0)</f>
        <v>0</v>
      </c>
      <c r="AG22" s="39">
        <f>IF(30&lt;=Cargo!$D$15,IF(30=1,Vessel!$E$12,0),0)</f>
        <v>0</v>
      </c>
      <c r="AH22" s="39">
        <f>IF(31&lt;=Cargo!$D$15,IF(31=1,Vessel!$E$12,0),0)</f>
        <v>0</v>
      </c>
      <c r="AI22" s="39">
        <f>IF(32&lt;=Cargo!$D$15,IF(32=1,Vessel!$E$12,0),0)</f>
        <v>0</v>
      </c>
      <c r="AJ22" s="39">
        <f>IF(33&lt;=Cargo!$D$15,IF(33=1,Vessel!$E$12,0),0)</f>
        <v>0</v>
      </c>
      <c r="AK22" s="39">
        <f>IF(34&lt;=Cargo!$D$15,IF(34=1,Vessel!$E$12,0),0)</f>
        <v>0</v>
      </c>
      <c r="AL22" s="39">
        <f>IF(35&lt;=Cargo!$D$15,IF(35=1,Vessel!$E$12,0),0)</f>
        <v>0</v>
      </c>
      <c r="AM22" s="39">
        <f>IF(36&lt;=Cargo!$D$15,IF(36=1,Vessel!$E$12,0),0)</f>
        <v>0</v>
      </c>
      <c r="AN22" s="39">
        <f>IF(37&lt;=Cargo!$D$15,IF(37=1,Vessel!$E$12,0),0)</f>
        <v>0</v>
      </c>
      <c r="AO22" s="39">
        <f>IF(38&lt;=Cargo!$D$15,IF(38=1,Vessel!$E$12,0),0)</f>
        <v>0</v>
      </c>
      <c r="AP22" s="39">
        <f>IF(39&lt;=Cargo!$D$15,IF(39=1,Vessel!$E$12,0),0)</f>
        <v>0</v>
      </c>
      <c r="AQ22" s="39">
        <f>IF(40&lt;=Cargo!$D$15,IF(40=1,Vessel!$E$12,0),0)</f>
        <v>0</v>
      </c>
    </row>
    <row r="23" spans="2:43" ht="15" customHeight="1" x14ac:dyDescent="0.45">
      <c r="B23" s="38" t="s">
        <v>118</v>
      </c>
      <c r="D23" s="39">
        <f>IF(1&lt;=Cargo!$D$15,Vessel!$E$13*(1+Cargo!$D$18)^(1-1),0)</f>
        <v>1.2</v>
      </c>
      <c r="E23" s="39">
        <f>IF(2&lt;=Cargo!$D$15,Vessel!$E$13*(1+Cargo!$D$18)^(2-1),0)</f>
        <v>1.224</v>
      </c>
      <c r="F23" s="39">
        <f>IF(3&lt;=Cargo!$D$15,Vessel!$E$13*(1+Cargo!$D$18)^(3-1),0)</f>
        <v>1.24848</v>
      </c>
      <c r="G23" s="39">
        <f>IF(4&lt;=Cargo!$D$15,Vessel!$E$13*(1+Cargo!$D$18)^(4-1),0)</f>
        <v>1.2734496</v>
      </c>
      <c r="H23" s="39">
        <f>IF(5&lt;=Cargo!$D$15,Vessel!$E$13*(1+Cargo!$D$18)^(5-1),0)</f>
        <v>1.2989185919999999</v>
      </c>
      <c r="I23" s="39">
        <f>IF(6&lt;=Cargo!$D$15,Vessel!$E$13*(1+Cargo!$D$18)^(6-1),0)</f>
        <v>1.3248969638399999</v>
      </c>
      <c r="J23" s="39">
        <f>IF(7&lt;=Cargo!$D$15,Vessel!$E$13*(1+Cargo!$D$18)^(7-1),0)</f>
        <v>1.3513949031168</v>
      </c>
      <c r="K23" s="39">
        <f>IF(8&lt;=Cargo!$D$15,Vessel!$E$13*(1+Cargo!$D$18)^(8-1),0)</f>
        <v>1.3784228011791357</v>
      </c>
      <c r="L23" s="39">
        <f>IF(9&lt;=Cargo!$D$15,Vessel!$E$13*(1+Cargo!$D$18)^(9-1),0)</f>
        <v>1.4059912572027187</v>
      </c>
      <c r="M23" s="39">
        <f>IF(10&lt;=Cargo!$D$15,Vessel!$E$13*(1+Cargo!$D$18)^(10-1),0)</f>
        <v>1.4341110823467729</v>
      </c>
      <c r="N23" s="39">
        <f>IF(11&lt;=Cargo!$D$15,Vessel!$E$13*(1+Cargo!$D$18)^(11-1),0)</f>
        <v>1.4627933039937084</v>
      </c>
      <c r="O23" s="39">
        <f>IF(12&lt;=Cargo!$D$15,Vessel!$E$13*(1+Cargo!$D$18)^(12-1),0)</f>
        <v>1.4920491700735823</v>
      </c>
      <c r="P23" s="39">
        <f>IF(13&lt;=Cargo!$D$15,Vessel!$E$13*(1+Cargo!$D$18)^(13-1),0)</f>
        <v>1.5218901534750542</v>
      </c>
      <c r="Q23" s="39">
        <f>IF(14&lt;=Cargo!$D$15,Vessel!$E$13*(1+Cargo!$D$18)^(14-1),0)</f>
        <v>1.5523279565445554</v>
      </c>
      <c r="R23" s="39">
        <f>IF(15&lt;=Cargo!$D$15,Vessel!$E$13*(1+Cargo!$D$18)^(15-1),0)</f>
        <v>1.5833745156754466</v>
      </c>
      <c r="S23" s="39">
        <f>IF(16&lt;=Cargo!$D$15,Vessel!$E$13*(1+Cargo!$D$18)^(16-1),0)</f>
        <v>1.615042005988955</v>
      </c>
      <c r="T23" s="39">
        <f>IF(17&lt;=Cargo!$D$15,Vessel!$E$13*(1+Cargo!$D$18)^(17-1),0)</f>
        <v>1.6473428461087345</v>
      </c>
      <c r="U23" s="39">
        <f>IF(18&lt;=Cargo!$D$15,Vessel!$E$13*(1+Cargo!$D$18)^(18-1),0)</f>
        <v>1.6802897030309092</v>
      </c>
      <c r="V23" s="39">
        <f>IF(19&lt;=Cargo!$D$15,Vessel!$E$13*(1+Cargo!$D$18)^(19-1),0)</f>
        <v>1.7138954970915272</v>
      </c>
      <c r="W23" s="39">
        <f>IF(20&lt;=Cargo!$D$15,Vessel!$E$13*(1+Cargo!$D$18)^(20-1),0)</f>
        <v>1.7481734070333577</v>
      </c>
      <c r="X23" s="39">
        <f>IF(21&lt;=Cargo!$D$15,Vessel!$E$13*(1+Cargo!$D$18)^(21-1),0)</f>
        <v>0</v>
      </c>
      <c r="Y23" s="39">
        <f>IF(22&lt;=Cargo!$D$15,Vessel!$E$13*(1+Cargo!$D$18)^(22-1),0)</f>
        <v>0</v>
      </c>
      <c r="Z23" s="39">
        <f>IF(23&lt;=Cargo!$D$15,Vessel!$E$13*(1+Cargo!$D$18)^(23-1),0)</f>
        <v>0</v>
      </c>
      <c r="AA23" s="39">
        <f>IF(24&lt;=Cargo!$D$15,Vessel!$E$13*(1+Cargo!$D$18)^(24-1),0)</f>
        <v>0</v>
      </c>
      <c r="AB23" s="39">
        <f>IF(25&lt;=Cargo!$D$15,Vessel!$E$13*(1+Cargo!$D$18)^(25-1),0)</f>
        <v>0</v>
      </c>
      <c r="AC23" s="39">
        <f>IF(26&lt;=Cargo!$D$15,Vessel!$E$13*(1+Cargo!$D$18)^(26-1),0)</f>
        <v>0</v>
      </c>
      <c r="AD23" s="39">
        <f>IF(27&lt;=Cargo!$D$15,Vessel!$E$13*(1+Cargo!$D$18)^(27-1),0)</f>
        <v>0</v>
      </c>
      <c r="AE23" s="39">
        <f>IF(28&lt;=Cargo!$D$15,Vessel!$E$13*(1+Cargo!$D$18)^(28-1),0)</f>
        <v>0</v>
      </c>
      <c r="AF23" s="39">
        <f>IF(29&lt;=Cargo!$D$15,Vessel!$E$13*(1+Cargo!$D$18)^(29-1),0)</f>
        <v>0</v>
      </c>
      <c r="AG23" s="39">
        <f>IF(30&lt;=Cargo!$D$15,Vessel!$E$13*(1+Cargo!$D$18)^(30-1),0)</f>
        <v>0</v>
      </c>
      <c r="AH23" s="39">
        <f>IF(31&lt;=Cargo!$D$15,Vessel!$E$13*(1+Cargo!$D$18)^(31-1),0)</f>
        <v>0</v>
      </c>
      <c r="AI23" s="39">
        <f>IF(32&lt;=Cargo!$D$15,Vessel!$E$13*(1+Cargo!$D$18)^(32-1),0)</f>
        <v>0</v>
      </c>
      <c r="AJ23" s="39">
        <f>IF(33&lt;=Cargo!$D$15,Vessel!$E$13*(1+Cargo!$D$18)^(33-1),0)</f>
        <v>0</v>
      </c>
      <c r="AK23" s="39">
        <f>IF(34&lt;=Cargo!$D$15,Vessel!$E$13*(1+Cargo!$D$18)^(34-1),0)</f>
        <v>0</v>
      </c>
      <c r="AL23" s="39">
        <f>IF(35&lt;=Cargo!$D$15,Vessel!$E$13*(1+Cargo!$D$18)^(35-1),0)</f>
        <v>0</v>
      </c>
      <c r="AM23" s="39">
        <f>IF(36&lt;=Cargo!$D$15,Vessel!$E$13*(1+Cargo!$D$18)^(36-1),0)</f>
        <v>0</v>
      </c>
      <c r="AN23" s="39">
        <f>IF(37&lt;=Cargo!$D$15,Vessel!$E$13*(1+Cargo!$D$18)^(37-1),0)</f>
        <v>0</v>
      </c>
      <c r="AO23" s="39">
        <f>IF(38&lt;=Cargo!$D$15,Vessel!$E$13*(1+Cargo!$D$18)^(38-1),0)</f>
        <v>0</v>
      </c>
      <c r="AP23" s="39">
        <f>IF(39&lt;=Cargo!$D$15,Vessel!$E$13*(1+Cargo!$D$18)^(39-1),0)</f>
        <v>0</v>
      </c>
      <c r="AQ23" s="39">
        <f>IF(40&lt;=Cargo!$D$15,Vessel!$E$13*(1+Cargo!$D$18)^(40-1),0)</f>
        <v>0</v>
      </c>
    </row>
    <row r="24" spans="2:43" ht="15" customHeight="1" x14ac:dyDescent="0.45">
      <c r="B24" s="34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</row>
    <row r="25" spans="2:43" ht="15" customHeight="1" x14ac:dyDescent="0.45">
      <c r="B25" s="34" t="s">
        <v>119</v>
      </c>
      <c r="D25" s="41">
        <f t="shared" ref="D25:AQ25" si="0">+D13+D16+D19+D22</f>
        <v>97</v>
      </c>
      <c r="E25" s="41">
        <f t="shared" si="0"/>
        <v>0</v>
      </c>
      <c r="F25" s="41">
        <f t="shared" si="0"/>
        <v>0</v>
      </c>
      <c r="G25" s="41">
        <f t="shared" si="0"/>
        <v>0</v>
      </c>
      <c r="H25" s="41">
        <f t="shared" si="0"/>
        <v>0</v>
      </c>
      <c r="I25" s="41">
        <f t="shared" si="0"/>
        <v>0</v>
      </c>
      <c r="J25" s="41">
        <f t="shared" si="0"/>
        <v>0</v>
      </c>
      <c r="K25" s="41">
        <f t="shared" si="0"/>
        <v>0</v>
      </c>
      <c r="L25" s="41">
        <f t="shared" si="0"/>
        <v>0</v>
      </c>
      <c r="M25" s="41">
        <f t="shared" si="0"/>
        <v>0</v>
      </c>
      <c r="N25" s="41">
        <f t="shared" si="0"/>
        <v>0</v>
      </c>
      <c r="O25" s="41">
        <f t="shared" si="0"/>
        <v>0</v>
      </c>
      <c r="P25" s="41">
        <f t="shared" si="0"/>
        <v>0</v>
      </c>
      <c r="Q25" s="41">
        <f t="shared" si="0"/>
        <v>0</v>
      </c>
      <c r="R25" s="41">
        <f t="shared" si="0"/>
        <v>0</v>
      </c>
      <c r="S25" s="41">
        <f t="shared" si="0"/>
        <v>0</v>
      </c>
      <c r="T25" s="41">
        <f t="shared" si="0"/>
        <v>0</v>
      </c>
      <c r="U25" s="41">
        <f t="shared" si="0"/>
        <v>0</v>
      </c>
      <c r="V25" s="41">
        <f t="shared" si="0"/>
        <v>0</v>
      </c>
      <c r="W25" s="41">
        <f t="shared" si="0"/>
        <v>0</v>
      </c>
      <c r="X25" s="41">
        <f t="shared" si="0"/>
        <v>0</v>
      </c>
      <c r="Y25" s="41">
        <f t="shared" si="0"/>
        <v>0</v>
      </c>
      <c r="Z25" s="41">
        <f t="shared" si="0"/>
        <v>0</v>
      </c>
      <c r="AA25" s="41">
        <f t="shared" si="0"/>
        <v>0</v>
      </c>
      <c r="AB25" s="41">
        <f t="shared" si="0"/>
        <v>0</v>
      </c>
      <c r="AC25" s="41">
        <f t="shared" si="0"/>
        <v>0</v>
      </c>
      <c r="AD25" s="41">
        <f t="shared" si="0"/>
        <v>0</v>
      </c>
      <c r="AE25" s="41">
        <f t="shared" si="0"/>
        <v>0</v>
      </c>
      <c r="AF25" s="41">
        <f t="shared" si="0"/>
        <v>0</v>
      </c>
      <c r="AG25" s="41">
        <f t="shared" si="0"/>
        <v>0</v>
      </c>
      <c r="AH25" s="41">
        <f t="shared" si="0"/>
        <v>0</v>
      </c>
      <c r="AI25" s="41">
        <f t="shared" si="0"/>
        <v>0</v>
      </c>
      <c r="AJ25" s="41">
        <f t="shared" si="0"/>
        <v>0</v>
      </c>
      <c r="AK25" s="41">
        <f t="shared" si="0"/>
        <v>0</v>
      </c>
      <c r="AL25" s="41">
        <f t="shared" si="0"/>
        <v>0</v>
      </c>
      <c r="AM25" s="41">
        <f t="shared" si="0"/>
        <v>0</v>
      </c>
      <c r="AN25" s="41">
        <f t="shared" si="0"/>
        <v>0</v>
      </c>
      <c r="AO25" s="41">
        <f t="shared" si="0"/>
        <v>0</v>
      </c>
      <c r="AP25" s="41">
        <f t="shared" si="0"/>
        <v>0</v>
      </c>
      <c r="AQ25" s="41">
        <f t="shared" si="0"/>
        <v>0</v>
      </c>
    </row>
    <row r="26" spans="2:43" ht="15" customHeight="1" x14ac:dyDescent="0.45">
      <c r="B26" s="34" t="s">
        <v>120</v>
      </c>
      <c r="D26" s="41">
        <f t="shared" ref="D26:AQ26" si="1">+D14+D17+D20+D23</f>
        <v>7.32258064516129</v>
      </c>
      <c r="E26" s="41">
        <f t="shared" si="1"/>
        <v>7.4690322580645159</v>
      </c>
      <c r="F26" s="41">
        <f t="shared" si="1"/>
        <v>7.6184129032258063</v>
      </c>
      <c r="G26" s="41">
        <f t="shared" si="1"/>
        <v>7.7707811612903219</v>
      </c>
      <c r="H26" s="41">
        <f t="shared" si="1"/>
        <v>7.9261967845161285</v>
      </c>
      <c r="I26" s="41">
        <f t="shared" si="1"/>
        <v>8.0847207202064517</v>
      </c>
      <c r="J26" s="41">
        <f t="shared" si="1"/>
        <v>8.2464151346105812</v>
      </c>
      <c r="K26" s="41">
        <f t="shared" si="1"/>
        <v>8.41134343730279</v>
      </c>
      <c r="L26" s="41">
        <f t="shared" si="1"/>
        <v>8.5795703060488471</v>
      </c>
      <c r="M26" s="41">
        <f t="shared" si="1"/>
        <v>8.7511617121698251</v>
      </c>
      <c r="N26" s="41">
        <f t="shared" si="1"/>
        <v>8.9261849464132226</v>
      </c>
      <c r="O26" s="41">
        <f t="shared" si="1"/>
        <v>9.1047086453414821</v>
      </c>
      <c r="P26" s="41">
        <f t="shared" si="1"/>
        <v>9.2868028182483151</v>
      </c>
      <c r="Q26" s="41">
        <f t="shared" si="1"/>
        <v>9.4725388746132815</v>
      </c>
      <c r="R26" s="41">
        <f t="shared" si="1"/>
        <v>9.6619896521055466</v>
      </c>
      <c r="S26" s="41">
        <f t="shared" si="1"/>
        <v>9.855229445147657</v>
      </c>
      <c r="T26" s="41">
        <f t="shared" si="1"/>
        <v>10.052334034050611</v>
      </c>
      <c r="U26" s="41">
        <f t="shared" si="1"/>
        <v>10.253380714731623</v>
      </c>
      <c r="V26" s="41">
        <f t="shared" si="1"/>
        <v>10.458448329026256</v>
      </c>
      <c r="W26" s="41">
        <f t="shared" si="1"/>
        <v>10.667617295606778</v>
      </c>
      <c r="X26" s="41">
        <f t="shared" si="1"/>
        <v>0</v>
      </c>
      <c r="Y26" s="41">
        <f t="shared" si="1"/>
        <v>0</v>
      </c>
      <c r="Z26" s="41">
        <f t="shared" si="1"/>
        <v>0</v>
      </c>
      <c r="AA26" s="41">
        <f t="shared" si="1"/>
        <v>0</v>
      </c>
      <c r="AB26" s="41">
        <f t="shared" si="1"/>
        <v>0</v>
      </c>
      <c r="AC26" s="41">
        <f t="shared" si="1"/>
        <v>0</v>
      </c>
      <c r="AD26" s="41">
        <f t="shared" si="1"/>
        <v>0</v>
      </c>
      <c r="AE26" s="41">
        <f t="shared" si="1"/>
        <v>0</v>
      </c>
      <c r="AF26" s="41">
        <f t="shared" si="1"/>
        <v>0</v>
      </c>
      <c r="AG26" s="41">
        <f t="shared" si="1"/>
        <v>0</v>
      </c>
      <c r="AH26" s="41">
        <f t="shared" si="1"/>
        <v>0</v>
      </c>
      <c r="AI26" s="41">
        <f t="shared" si="1"/>
        <v>0</v>
      </c>
      <c r="AJ26" s="41">
        <f t="shared" si="1"/>
        <v>0</v>
      </c>
      <c r="AK26" s="41">
        <f t="shared" si="1"/>
        <v>0</v>
      </c>
      <c r="AL26" s="41">
        <f t="shared" si="1"/>
        <v>0</v>
      </c>
      <c r="AM26" s="41">
        <f t="shared" si="1"/>
        <v>0</v>
      </c>
      <c r="AN26" s="41">
        <f t="shared" si="1"/>
        <v>0</v>
      </c>
      <c r="AO26" s="41">
        <f t="shared" si="1"/>
        <v>0</v>
      </c>
      <c r="AP26" s="41">
        <f t="shared" si="1"/>
        <v>0</v>
      </c>
      <c r="AQ26" s="41">
        <f t="shared" si="1"/>
        <v>0</v>
      </c>
    </row>
    <row r="27" spans="2:43" ht="15" customHeight="1" x14ac:dyDescent="0.45">
      <c r="B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2:43" ht="15" customHeight="1" x14ac:dyDescent="0.45">
      <c r="B28" s="38" t="s">
        <v>121</v>
      </c>
      <c r="D28" s="39">
        <f>IF(AND(1&lt;=Cargo!$D$15,Regulation!$D$6="Yes"),Vessel!$D$7*Fuel!$E$15*Fuel!$E$12*(IF(D8&lt;2024,0,IF(D8&lt;2025,0.4,IF(D8&lt;2026,0.7,1))))*Regulation!$D$9*Regulation!$D$7*Regulation!$D$8/1000000,0)</f>
        <v>2.2296774193548387E-2</v>
      </c>
      <c r="E28" s="39">
        <f>IF(AND(2&lt;=Cargo!$D$15,Regulation!$D$6="Yes"),Vessel!$D$7*Fuel!$E$15*Fuel!$E$12*(IF(E8&lt;2024,0,IF(E8&lt;2025,0.4,IF(E8&lt;2026,0.7,1))))*Regulation!$D$9*Regulation!$D$7*Regulation!$D$8/1000000,0)</f>
        <v>2.2296774193548387E-2</v>
      </c>
      <c r="F28" s="39">
        <f>IF(AND(3&lt;=Cargo!$D$15,Regulation!$D$6="Yes"),Vessel!$D$7*Fuel!$E$15*Fuel!$E$12*(IF(F8&lt;2024,0,IF(F8&lt;2025,0.4,IF(F8&lt;2026,0.7,1))))*Regulation!$D$9*Regulation!$D$7*Regulation!$D$8/1000000,0)</f>
        <v>2.2296774193548387E-2</v>
      </c>
      <c r="G28" s="39">
        <f>IF(AND(4&lt;=Cargo!$D$15,Regulation!$D$6="Yes"),Vessel!$D$7*Fuel!$E$15*Fuel!$E$12*(IF(G8&lt;2024,0,IF(G8&lt;2025,0.4,IF(G8&lt;2026,0.7,1))))*Regulation!$D$9*Regulation!$D$7*Regulation!$D$8/1000000,0)</f>
        <v>2.2296774193548387E-2</v>
      </c>
      <c r="H28" s="39">
        <f>IF(AND(5&lt;=Cargo!$D$15,Regulation!$D$6="Yes"),Vessel!$D$7*Fuel!$E$15*Fuel!$E$12*(IF(H8&lt;2024,0,IF(H8&lt;2025,0.4,IF(H8&lt;2026,0.7,1))))*Regulation!$D$9*Regulation!$D$7*Regulation!$D$8/1000000,0)</f>
        <v>2.2296774193548387E-2</v>
      </c>
      <c r="I28" s="39">
        <f>IF(AND(6&lt;=Cargo!$D$15,Regulation!$D$6="Yes"),Vessel!$D$7*Fuel!$E$15*Fuel!$E$12*(IF(I8&lt;2024,0,IF(I8&lt;2025,0.4,IF(I8&lt;2026,0.7,1))))*Regulation!$D$9*Regulation!$D$7*Regulation!$D$8/1000000,0)</f>
        <v>2.2296774193548387E-2</v>
      </c>
      <c r="J28" s="39">
        <f>IF(AND(7&lt;=Cargo!$D$15,Regulation!$D$6="Yes"),Vessel!$D$7*Fuel!$E$15*Fuel!$E$12*(IF(J8&lt;2024,0,IF(J8&lt;2025,0.4,IF(J8&lt;2026,0.7,1))))*Regulation!$D$9*Regulation!$D$7*Regulation!$D$8/1000000,0)</f>
        <v>2.2296774193548387E-2</v>
      </c>
      <c r="K28" s="39">
        <f>IF(AND(8&lt;=Cargo!$D$15,Regulation!$D$6="Yes"),Vessel!$D$7*Fuel!$E$15*Fuel!$E$12*(IF(K8&lt;2024,0,IF(K8&lt;2025,0.4,IF(K8&lt;2026,0.7,1))))*Regulation!$D$9*Regulation!$D$7*Regulation!$D$8/1000000,0)</f>
        <v>2.2296774193548387E-2</v>
      </c>
      <c r="L28" s="39">
        <f>IF(AND(9&lt;=Cargo!$D$15,Regulation!$D$6="Yes"),Vessel!$D$7*Fuel!$E$15*Fuel!$E$12*(IF(L8&lt;2024,0,IF(L8&lt;2025,0.4,IF(L8&lt;2026,0.7,1))))*Regulation!$D$9*Regulation!$D$7*Regulation!$D$8/1000000,0)</f>
        <v>2.2296774193548387E-2</v>
      </c>
      <c r="M28" s="39">
        <f>IF(AND(10&lt;=Cargo!$D$15,Regulation!$D$6="Yes"),Vessel!$D$7*Fuel!$E$15*Fuel!$E$12*(IF(M8&lt;2024,0,IF(M8&lt;2025,0.4,IF(M8&lt;2026,0.7,1))))*Regulation!$D$9*Regulation!$D$7*Regulation!$D$8/1000000,0)</f>
        <v>2.2296774193548387E-2</v>
      </c>
      <c r="N28" s="39">
        <f>IF(AND(11&lt;=Cargo!$D$15,Regulation!$D$6="Yes"),Vessel!$D$7*Fuel!$E$15*Fuel!$E$12*(IF(N8&lt;2024,0,IF(N8&lt;2025,0.4,IF(N8&lt;2026,0.7,1))))*Regulation!$D$9*Regulation!$D$7*Regulation!$D$8/1000000,0)</f>
        <v>2.2296774193548387E-2</v>
      </c>
      <c r="O28" s="39">
        <f>IF(AND(12&lt;=Cargo!$D$15,Regulation!$D$6="Yes"),Vessel!$D$7*Fuel!$E$15*Fuel!$E$12*(IF(O8&lt;2024,0,IF(O8&lt;2025,0.4,IF(O8&lt;2026,0.7,1))))*Regulation!$D$9*Regulation!$D$7*Regulation!$D$8/1000000,0)</f>
        <v>2.2296774193548387E-2</v>
      </c>
      <c r="P28" s="39">
        <f>IF(AND(13&lt;=Cargo!$D$15,Regulation!$D$6="Yes"),Vessel!$D$7*Fuel!$E$15*Fuel!$E$12*(IF(P8&lt;2024,0,IF(P8&lt;2025,0.4,IF(P8&lt;2026,0.7,1))))*Regulation!$D$9*Regulation!$D$7*Regulation!$D$8/1000000,0)</f>
        <v>2.2296774193548387E-2</v>
      </c>
      <c r="Q28" s="39">
        <f>IF(AND(14&lt;=Cargo!$D$15,Regulation!$D$6="Yes"),Vessel!$D$7*Fuel!$E$15*Fuel!$E$12*(IF(Q8&lt;2024,0,IF(Q8&lt;2025,0.4,IF(Q8&lt;2026,0.7,1))))*Regulation!$D$9*Regulation!$D$7*Regulation!$D$8/1000000,0)</f>
        <v>2.2296774193548387E-2</v>
      </c>
      <c r="R28" s="39">
        <f>IF(AND(15&lt;=Cargo!$D$15,Regulation!$D$6="Yes"),Vessel!$D$7*Fuel!$E$15*Fuel!$E$12*(IF(R8&lt;2024,0,IF(R8&lt;2025,0.4,IF(R8&lt;2026,0.7,1))))*Regulation!$D$9*Regulation!$D$7*Regulation!$D$8/1000000,0)</f>
        <v>2.2296774193548387E-2</v>
      </c>
      <c r="S28" s="39">
        <f>IF(AND(16&lt;=Cargo!$D$15,Regulation!$D$6="Yes"),Vessel!$D$7*Fuel!$E$15*Fuel!$E$12*(IF(S8&lt;2024,0,IF(S8&lt;2025,0.4,IF(S8&lt;2026,0.7,1))))*Regulation!$D$9*Regulation!$D$7*Regulation!$D$8/1000000,0)</f>
        <v>2.2296774193548387E-2</v>
      </c>
      <c r="T28" s="39">
        <f>IF(AND(17&lt;=Cargo!$D$15,Regulation!$D$6="Yes"),Vessel!$D$7*Fuel!$E$15*Fuel!$E$12*(IF(T8&lt;2024,0,IF(T8&lt;2025,0.4,IF(T8&lt;2026,0.7,1))))*Regulation!$D$9*Regulation!$D$7*Regulation!$D$8/1000000,0)</f>
        <v>2.2296774193548387E-2</v>
      </c>
      <c r="U28" s="39">
        <f>IF(AND(18&lt;=Cargo!$D$15,Regulation!$D$6="Yes"),Vessel!$D$7*Fuel!$E$15*Fuel!$E$12*(IF(U8&lt;2024,0,IF(U8&lt;2025,0.4,IF(U8&lt;2026,0.7,1))))*Regulation!$D$9*Regulation!$D$7*Regulation!$D$8/1000000,0)</f>
        <v>2.2296774193548387E-2</v>
      </c>
      <c r="V28" s="39">
        <f>IF(AND(19&lt;=Cargo!$D$15,Regulation!$D$6="Yes"),Vessel!$D$7*Fuel!$E$15*Fuel!$E$12*(IF(V8&lt;2024,0,IF(V8&lt;2025,0.4,IF(V8&lt;2026,0.7,1))))*Regulation!$D$9*Regulation!$D$7*Regulation!$D$8/1000000,0)</f>
        <v>2.2296774193548387E-2</v>
      </c>
      <c r="W28" s="39">
        <f>IF(AND(20&lt;=Cargo!$D$15,Regulation!$D$6="Yes"),Vessel!$D$7*Fuel!$E$15*Fuel!$E$12*(IF(W8&lt;2024,0,IF(W8&lt;2025,0.4,IF(W8&lt;2026,0.7,1))))*Regulation!$D$9*Regulation!$D$7*Regulation!$D$8/1000000,0)</f>
        <v>2.2296774193548387E-2</v>
      </c>
      <c r="X28" s="39">
        <f>IF(AND(21&lt;=Cargo!$D$15,Regulation!$D$6="Yes"),Vessel!$D$7*Fuel!$E$15*Fuel!$E$12*(IF(X8&lt;2024,0,IF(X8&lt;2025,0.4,IF(X8&lt;2026,0.7,1))))*Regulation!$D$9*Regulation!$D$7*Regulation!$D$8/1000000,0)</f>
        <v>0</v>
      </c>
      <c r="Y28" s="39">
        <f>IF(AND(22&lt;=Cargo!$D$15,Regulation!$D$6="Yes"),Vessel!$D$7*Fuel!$E$15*Fuel!$E$12*(IF(Y8&lt;2024,0,IF(Y8&lt;2025,0.4,IF(Y8&lt;2026,0.7,1))))*Regulation!$D$9*Regulation!$D$7*Regulation!$D$8/1000000,0)</f>
        <v>0</v>
      </c>
      <c r="Z28" s="39">
        <f>IF(AND(23&lt;=Cargo!$D$15,Regulation!$D$6="Yes"),Vessel!$D$7*Fuel!$E$15*Fuel!$E$12*(IF(Z8&lt;2024,0,IF(Z8&lt;2025,0.4,IF(Z8&lt;2026,0.7,1))))*Regulation!$D$9*Regulation!$D$7*Regulation!$D$8/1000000,0)</f>
        <v>0</v>
      </c>
      <c r="AA28" s="39">
        <f>IF(AND(24&lt;=Cargo!$D$15,Regulation!$D$6="Yes"),Vessel!$D$7*Fuel!$E$15*Fuel!$E$12*(IF(AA8&lt;2024,0,IF(AA8&lt;2025,0.4,IF(AA8&lt;2026,0.7,1))))*Regulation!$D$9*Regulation!$D$7*Regulation!$D$8/1000000,0)</f>
        <v>0</v>
      </c>
      <c r="AB28" s="39">
        <f>IF(AND(25&lt;=Cargo!$D$15,Regulation!$D$6="Yes"),Vessel!$D$7*Fuel!$E$15*Fuel!$E$12*(IF(AB8&lt;2024,0,IF(AB8&lt;2025,0.4,IF(AB8&lt;2026,0.7,1))))*Regulation!$D$9*Regulation!$D$7*Regulation!$D$8/1000000,0)</f>
        <v>0</v>
      </c>
      <c r="AC28" s="39">
        <f>IF(AND(26&lt;=Cargo!$D$15,Regulation!$D$6="Yes"),Vessel!$D$7*Fuel!$E$15*Fuel!$E$12*(IF(AC8&lt;2024,0,IF(AC8&lt;2025,0.4,IF(AC8&lt;2026,0.7,1))))*Regulation!$D$9*Regulation!$D$7*Regulation!$D$8/1000000,0)</f>
        <v>0</v>
      </c>
      <c r="AD28" s="39">
        <f>IF(AND(27&lt;=Cargo!$D$15,Regulation!$D$6="Yes"),Vessel!$D$7*Fuel!$E$15*Fuel!$E$12*(IF(AD8&lt;2024,0,IF(AD8&lt;2025,0.4,IF(AD8&lt;2026,0.7,1))))*Regulation!$D$9*Regulation!$D$7*Regulation!$D$8/1000000,0)</f>
        <v>0</v>
      </c>
      <c r="AE28" s="39">
        <f>IF(AND(28&lt;=Cargo!$D$15,Regulation!$D$6="Yes"),Vessel!$D$7*Fuel!$E$15*Fuel!$E$12*(IF(AE8&lt;2024,0,IF(AE8&lt;2025,0.4,IF(AE8&lt;2026,0.7,1))))*Regulation!$D$9*Regulation!$D$7*Regulation!$D$8/1000000,0)</f>
        <v>0</v>
      </c>
      <c r="AF28" s="39">
        <f>IF(AND(29&lt;=Cargo!$D$15,Regulation!$D$6="Yes"),Vessel!$D$7*Fuel!$E$15*Fuel!$E$12*(IF(AF8&lt;2024,0,IF(AF8&lt;2025,0.4,IF(AF8&lt;2026,0.7,1))))*Regulation!$D$9*Regulation!$D$7*Regulation!$D$8/1000000,0)</f>
        <v>0</v>
      </c>
      <c r="AG28" s="39">
        <f>IF(AND(30&lt;=Cargo!$D$15,Regulation!$D$6="Yes"),Vessel!$D$7*Fuel!$E$15*Fuel!$E$12*(IF(AG8&lt;2024,0,IF(AG8&lt;2025,0.4,IF(AG8&lt;2026,0.7,1))))*Regulation!$D$9*Regulation!$D$7*Regulation!$D$8/1000000,0)</f>
        <v>0</v>
      </c>
      <c r="AH28" s="39">
        <f>IF(AND(31&lt;=Cargo!$D$15,Regulation!$D$6="Yes"),Vessel!$D$7*Fuel!$E$15*Fuel!$E$12*(IF(AH8&lt;2024,0,IF(AH8&lt;2025,0.4,IF(AH8&lt;2026,0.7,1))))*Regulation!$D$9*Regulation!$D$7*Regulation!$D$8/1000000,0)</f>
        <v>0</v>
      </c>
      <c r="AI28" s="39">
        <f>IF(AND(32&lt;=Cargo!$D$15,Regulation!$D$6="Yes"),Vessel!$D$7*Fuel!$E$15*Fuel!$E$12*(IF(AI8&lt;2024,0,IF(AI8&lt;2025,0.4,IF(AI8&lt;2026,0.7,1))))*Regulation!$D$9*Regulation!$D$7*Regulation!$D$8/1000000,0)</f>
        <v>0</v>
      </c>
      <c r="AJ28" s="39">
        <f>IF(AND(33&lt;=Cargo!$D$15,Regulation!$D$6="Yes"),Vessel!$D$7*Fuel!$E$15*Fuel!$E$12*(IF(AJ8&lt;2024,0,IF(AJ8&lt;2025,0.4,IF(AJ8&lt;2026,0.7,1))))*Regulation!$D$9*Regulation!$D$7*Regulation!$D$8/1000000,0)</f>
        <v>0</v>
      </c>
      <c r="AK28" s="39">
        <f>IF(AND(34&lt;=Cargo!$D$15,Regulation!$D$6="Yes"),Vessel!$D$7*Fuel!$E$15*Fuel!$E$12*(IF(AK8&lt;2024,0,IF(AK8&lt;2025,0.4,IF(AK8&lt;2026,0.7,1))))*Regulation!$D$9*Regulation!$D$7*Regulation!$D$8/1000000,0)</f>
        <v>0</v>
      </c>
      <c r="AL28" s="39">
        <f>IF(AND(35&lt;=Cargo!$D$15,Regulation!$D$6="Yes"),Vessel!$D$7*Fuel!$E$15*Fuel!$E$12*(IF(AL8&lt;2024,0,IF(AL8&lt;2025,0.4,IF(AL8&lt;2026,0.7,1))))*Regulation!$D$9*Regulation!$D$7*Regulation!$D$8/1000000,0)</f>
        <v>0</v>
      </c>
      <c r="AM28" s="39">
        <f>IF(AND(36&lt;=Cargo!$D$15,Regulation!$D$6="Yes"),Vessel!$D$7*Fuel!$E$15*Fuel!$E$12*(IF(AM8&lt;2024,0,IF(AM8&lt;2025,0.4,IF(AM8&lt;2026,0.7,1))))*Regulation!$D$9*Regulation!$D$7*Regulation!$D$8/1000000,0)</f>
        <v>0</v>
      </c>
      <c r="AN28" s="39">
        <f>IF(AND(37&lt;=Cargo!$D$15,Regulation!$D$6="Yes"),Vessel!$D$7*Fuel!$E$15*Fuel!$E$12*(IF(AN8&lt;2024,0,IF(AN8&lt;2025,0.4,IF(AN8&lt;2026,0.7,1))))*Regulation!$D$9*Regulation!$D$7*Regulation!$D$8/1000000,0)</f>
        <v>0</v>
      </c>
      <c r="AO28" s="39">
        <f>IF(AND(38&lt;=Cargo!$D$15,Regulation!$D$6="Yes"),Vessel!$D$7*Fuel!$E$15*Fuel!$E$12*(IF(AO8&lt;2024,0,IF(AO8&lt;2025,0.4,IF(AO8&lt;2026,0.7,1))))*Regulation!$D$9*Regulation!$D$7*Regulation!$D$8/1000000,0)</f>
        <v>0</v>
      </c>
      <c r="AP28" s="39">
        <f>IF(AND(39&lt;=Cargo!$D$15,Regulation!$D$6="Yes"),Vessel!$D$7*Fuel!$E$15*Fuel!$E$12*(IF(AP8&lt;2024,0,IF(AP8&lt;2025,0.4,IF(AP8&lt;2026,0.7,1))))*Regulation!$D$9*Regulation!$D$7*Regulation!$D$8/1000000,0)</f>
        <v>0</v>
      </c>
      <c r="AQ28" s="39">
        <f>IF(AND(40&lt;=Cargo!$D$15,Regulation!$D$6="Yes"),Vessel!$D$7*Fuel!$E$15*Fuel!$E$12*(IF(AQ8&lt;2024,0,IF(AQ8&lt;2025,0.4,IF(AQ8&lt;2026,0.7,1))))*Regulation!$D$9*Regulation!$D$7*Regulation!$D$8/1000000,0)</f>
        <v>0</v>
      </c>
    </row>
    <row r="29" spans="2:43" ht="15" customHeight="1" x14ac:dyDescent="0.45">
      <c r="B29" s="38" t="s">
        <v>122</v>
      </c>
      <c r="D29" s="39">
        <f>IF(AND(1&lt;=Cargo!$D$15,Regulation!$D$14="Yes"),MAX(0,(Fuel!$E$14-Regulation!$D$17*(1-(IF(D8&lt;2025,0,IF(D8&lt;2030,0.02,IF(D8&lt;2035,0.06,IF(D8&lt;2040,0.145,IF(D8&lt;2045,0.31,IF(D8&lt;2050,0.62,0.8)))))))))*(Vessel!$D$7*Fuel!$E$15*Fuel!$E$13)/Fuel!$E$14/Regulation!$D$16*Regulation!$D$15*Regulation!$D$18*Regulation!$D$8/1000000),0)</f>
        <v>0</v>
      </c>
      <c r="E29" s="39">
        <f>IF(AND(2&lt;=Cargo!$D$15,Regulation!$D$14="Yes"),MAX(0,(Fuel!$E$14-Regulation!$D$17*(1-(IF(E8&lt;2025,0,IF(E8&lt;2030,0.02,IF(E8&lt;2035,0.06,IF(E8&lt;2040,0.145,IF(E8&lt;2045,0.31,IF(E8&lt;2050,0.62,0.8)))))))))*(Vessel!$D$7*Fuel!$E$15*Fuel!$E$13)/Fuel!$E$14/Regulation!$D$16*Regulation!$D$15*Regulation!$D$18*Regulation!$D$8/1000000),0)</f>
        <v>0</v>
      </c>
      <c r="F29" s="39">
        <f>IF(AND(3&lt;=Cargo!$D$15,Regulation!$D$14="Yes"),MAX(0,(Fuel!$E$14-Regulation!$D$17*(1-(IF(F8&lt;2025,0,IF(F8&lt;2030,0.02,IF(F8&lt;2035,0.06,IF(F8&lt;2040,0.145,IF(F8&lt;2045,0.31,IF(F8&lt;2050,0.62,0.8)))))))))*(Vessel!$D$7*Fuel!$E$15*Fuel!$E$13)/Fuel!$E$14/Regulation!$D$16*Regulation!$D$15*Regulation!$D$18*Regulation!$D$8/1000000),0)</f>
        <v>0</v>
      </c>
      <c r="G29" s="39">
        <f>IF(AND(4&lt;=Cargo!$D$15,Regulation!$D$14="Yes"),MAX(0,(Fuel!$E$14-Regulation!$D$17*(1-(IF(G8&lt;2025,0,IF(G8&lt;2030,0.02,IF(G8&lt;2035,0.06,IF(G8&lt;2040,0.145,IF(G8&lt;2045,0.31,IF(G8&lt;2050,0.62,0.8)))))))))*(Vessel!$D$7*Fuel!$E$15*Fuel!$E$13)/Fuel!$E$14/Regulation!$D$16*Regulation!$D$15*Regulation!$D$18*Regulation!$D$8/1000000),0)</f>
        <v>0</v>
      </c>
      <c r="H29" s="39">
        <f>IF(AND(5&lt;=Cargo!$D$15,Regulation!$D$14="Yes"),MAX(0,(Fuel!$E$14-Regulation!$D$17*(1-(IF(H8&lt;2025,0,IF(H8&lt;2030,0.02,IF(H8&lt;2035,0.06,IF(H8&lt;2040,0.145,IF(H8&lt;2045,0.31,IF(H8&lt;2050,0.62,0.8)))))))))*(Vessel!$D$7*Fuel!$E$15*Fuel!$E$13)/Fuel!$E$14/Regulation!$D$16*Regulation!$D$15*Regulation!$D$18*Regulation!$D$8/1000000),0)</f>
        <v>0</v>
      </c>
      <c r="I29" s="39">
        <f>IF(AND(6&lt;=Cargo!$D$15,Regulation!$D$14="Yes"),MAX(0,(Fuel!$E$14-Regulation!$D$17*(1-(IF(I8&lt;2025,0,IF(I8&lt;2030,0.02,IF(I8&lt;2035,0.06,IF(I8&lt;2040,0.145,IF(I8&lt;2045,0.31,IF(I8&lt;2050,0.62,0.8)))))))))*(Vessel!$D$7*Fuel!$E$15*Fuel!$E$13)/Fuel!$E$14/Regulation!$D$16*Regulation!$D$15*Regulation!$D$18*Regulation!$D$8/1000000),0)</f>
        <v>0</v>
      </c>
      <c r="J29" s="39">
        <f>IF(AND(7&lt;=Cargo!$D$15,Regulation!$D$14="Yes"),MAX(0,(Fuel!$E$14-Regulation!$D$17*(1-(IF(J8&lt;2025,0,IF(J8&lt;2030,0.02,IF(J8&lt;2035,0.06,IF(J8&lt;2040,0.145,IF(J8&lt;2045,0.31,IF(J8&lt;2050,0.62,0.8)))))))))*(Vessel!$D$7*Fuel!$E$15*Fuel!$E$13)/Fuel!$E$14/Regulation!$D$16*Regulation!$D$15*Regulation!$D$18*Regulation!$D$8/1000000),0)</f>
        <v>0</v>
      </c>
      <c r="K29" s="39">
        <f>IF(AND(8&lt;=Cargo!$D$15,Regulation!$D$14="Yes"),MAX(0,(Fuel!$E$14-Regulation!$D$17*(1-(IF(K8&lt;2025,0,IF(K8&lt;2030,0.02,IF(K8&lt;2035,0.06,IF(K8&lt;2040,0.145,IF(K8&lt;2045,0.31,IF(K8&lt;2050,0.62,0.8)))))))))*(Vessel!$D$7*Fuel!$E$15*Fuel!$E$13)/Fuel!$E$14/Regulation!$D$16*Regulation!$D$15*Regulation!$D$18*Regulation!$D$8/1000000),0)</f>
        <v>0</v>
      </c>
      <c r="L29" s="39">
        <f>IF(AND(9&lt;=Cargo!$D$15,Regulation!$D$14="Yes"),MAX(0,(Fuel!$E$14-Regulation!$D$17*(1-(IF(L8&lt;2025,0,IF(L8&lt;2030,0.02,IF(L8&lt;2035,0.06,IF(L8&lt;2040,0.145,IF(L8&lt;2045,0.31,IF(L8&lt;2050,0.62,0.8)))))))))*(Vessel!$D$7*Fuel!$E$15*Fuel!$E$13)/Fuel!$E$14/Regulation!$D$16*Regulation!$D$15*Regulation!$D$18*Regulation!$D$8/1000000),0)</f>
        <v>0</v>
      </c>
      <c r="M29" s="39">
        <f>IF(AND(10&lt;=Cargo!$D$15,Regulation!$D$14="Yes"),MAX(0,(Fuel!$E$14-Regulation!$D$17*(1-(IF(M8&lt;2025,0,IF(M8&lt;2030,0.02,IF(M8&lt;2035,0.06,IF(M8&lt;2040,0.145,IF(M8&lt;2045,0.31,IF(M8&lt;2050,0.62,0.8)))))))))*(Vessel!$D$7*Fuel!$E$15*Fuel!$E$13)/Fuel!$E$14/Regulation!$D$16*Regulation!$D$15*Regulation!$D$18*Regulation!$D$8/1000000),0)</f>
        <v>0</v>
      </c>
      <c r="N29" s="39">
        <f>IF(AND(11&lt;=Cargo!$D$15,Regulation!$D$14="Yes"),MAX(0,(Fuel!$E$14-Regulation!$D$17*(1-(IF(N8&lt;2025,0,IF(N8&lt;2030,0.02,IF(N8&lt;2035,0.06,IF(N8&lt;2040,0.145,IF(N8&lt;2045,0.31,IF(N8&lt;2050,0.62,0.8)))))))))*(Vessel!$D$7*Fuel!$E$15*Fuel!$E$13)/Fuel!$E$14/Regulation!$D$16*Regulation!$D$15*Regulation!$D$18*Regulation!$D$8/1000000),0)</f>
        <v>0</v>
      </c>
      <c r="O29" s="39">
        <f>IF(AND(12&lt;=Cargo!$D$15,Regulation!$D$14="Yes"),MAX(0,(Fuel!$E$14-Regulation!$D$17*(1-(IF(O8&lt;2025,0,IF(O8&lt;2030,0.02,IF(O8&lt;2035,0.06,IF(O8&lt;2040,0.145,IF(O8&lt;2045,0.31,IF(O8&lt;2050,0.62,0.8)))))))))*(Vessel!$D$7*Fuel!$E$15*Fuel!$E$13)/Fuel!$E$14/Regulation!$D$16*Regulation!$D$15*Regulation!$D$18*Regulation!$D$8/1000000),0)</f>
        <v>0</v>
      </c>
      <c r="P29" s="39">
        <f>IF(AND(13&lt;=Cargo!$D$15,Regulation!$D$14="Yes"),MAX(0,(Fuel!$E$14-Regulation!$D$17*(1-(IF(P8&lt;2025,0,IF(P8&lt;2030,0.02,IF(P8&lt;2035,0.06,IF(P8&lt;2040,0.145,IF(P8&lt;2045,0.31,IF(P8&lt;2050,0.62,0.8)))))))))*(Vessel!$D$7*Fuel!$E$15*Fuel!$E$13)/Fuel!$E$14/Regulation!$D$16*Regulation!$D$15*Regulation!$D$18*Regulation!$D$8/1000000),0)</f>
        <v>0</v>
      </c>
      <c r="Q29" s="39">
        <f>IF(AND(14&lt;=Cargo!$D$15,Regulation!$D$14="Yes"),MAX(0,(Fuel!$E$14-Regulation!$D$17*(1-(IF(Q8&lt;2025,0,IF(Q8&lt;2030,0.02,IF(Q8&lt;2035,0.06,IF(Q8&lt;2040,0.145,IF(Q8&lt;2045,0.31,IF(Q8&lt;2050,0.62,0.8)))))))))*(Vessel!$D$7*Fuel!$E$15*Fuel!$E$13)/Fuel!$E$14/Regulation!$D$16*Regulation!$D$15*Regulation!$D$18*Regulation!$D$8/1000000),0)</f>
        <v>0</v>
      </c>
      <c r="R29" s="39">
        <f>IF(AND(15&lt;=Cargo!$D$15,Regulation!$D$14="Yes"),MAX(0,(Fuel!$E$14-Regulation!$D$17*(1-(IF(R8&lt;2025,0,IF(R8&lt;2030,0.02,IF(R8&lt;2035,0.06,IF(R8&lt;2040,0.145,IF(R8&lt;2045,0.31,IF(R8&lt;2050,0.62,0.8)))))))))*(Vessel!$D$7*Fuel!$E$15*Fuel!$E$13)/Fuel!$E$14/Regulation!$D$16*Regulation!$D$15*Regulation!$D$18*Regulation!$D$8/1000000),0)</f>
        <v>0</v>
      </c>
      <c r="S29" s="39">
        <f>IF(AND(16&lt;=Cargo!$D$15,Regulation!$D$14="Yes"),MAX(0,(Fuel!$E$14-Regulation!$D$17*(1-(IF(S8&lt;2025,0,IF(S8&lt;2030,0.02,IF(S8&lt;2035,0.06,IF(S8&lt;2040,0.145,IF(S8&lt;2045,0.31,IF(S8&lt;2050,0.62,0.8)))))))))*(Vessel!$D$7*Fuel!$E$15*Fuel!$E$13)/Fuel!$E$14/Regulation!$D$16*Regulation!$D$15*Regulation!$D$18*Regulation!$D$8/1000000),0)</f>
        <v>0</v>
      </c>
      <c r="T29" s="39">
        <f>IF(AND(17&lt;=Cargo!$D$15,Regulation!$D$14="Yes"),MAX(0,(Fuel!$E$14-Regulation!$D$17*(1-(IF(T8&lt;2025,0,IF(T8&lt;2030,0.02,IF(T8&lt;2035,0.06,IF(T8&lt;2040,0.145,IF(T8&lt;2045,0.31,IF(T8&lt;2050,0.62,0.8)))))))))*(Vessel!$D$7*Fuel!$E$15*Fuel!$E$13)/Fuel!$E$14/Regulation!$D$16*Regulation!$D$15*Regulation!$D$18*Regulation!$D$8/1000000),0)</f>
        <v>0</v>
      </c>
      <c r="U29" s="39">
        <f>IF(AND(18&lt;=Cargo!$D$15,Regulation!$D$14="Yes"),MAX(0,(Fuel!$E$14-Regulation!$D$17*(1-(IF(U8&lt;2025,0,IF(U8&lt;2030,0.02,IF(U8&lt;2035,0.06,IF(U8&lt;2040,0.145,IF(U8&lt;2045,0.31,IF(U8&lt;2050,0.62,0.8)))))))))*(Vessel!$D$7*Fuel!$E$15*Fuel!$E$13)/Fuel!$E$14/Regulation!$D$16*Regulation!$D$15*Regulation!$D$18*Regulation!$D$8/1000000),0)</f>
        <v>0</v>
      </c>
      <c r="V29" s="39">
        <f>IF(AND(19&lt;=Cargo!$D$15,Regulation!$D$14="Yes"),MAX(0,(Fuel!$E$14-Regulation!$D$17*(1-(IF(V8&lt;2025,0,IF(V8&lt;2030,0.02,IF(V8&lt;2035,0.06,IF(V8&lt;2040,0.145,IF(V8&lt;2045,0.31,IF(V8&lt;2050,0.62,0.8)))))))))*(Vessel!$D$7*Fuel!$E$15*Fuel!$E$13)/Fuel!$E$14/Regulation!$D$16*Regulation!$D$15*Regulation!$D$18*Regulation!$D$8/1000000),0)</f>
        <v>0</v>
      </c>
      <c r="W29" s="39">
        <f>IF(AND(20&lt;=Cargo!$D$15,Regulation!$D$14="Yes"),MAX(0,(Fuel!$E$14-Regulation!$D$17*(1-(IF(W8&lt;2025,0,IF(W8&lt;2030,0.02,IF(W8&lt;2035,0.06,IF(W8&lt;2040,0.145,IF(W8&lt;2045,0.31,IF(W8&lt;2050,0.62,0.8)))))))))*(Vessel!$D$7*Fuel!$E$15*Fuel!$E$13)/Fuel!$E$14/Regulation!$D$16*Regulation!$D$15*Regulation!$D$18*Regulation!$D$8/1000000),0)</f>
        <v>0</v>
      </c>
      <c r="X29" s="39">
        <f>IF(AND(21&lt;=Cargo!$D$15,Regulation!$D$14="Yes"),MAX(0,(Fuel!$E$14-Regulation!$D$17*(1-(IF(X8&lt;2025,0,IF(X8&lt;2030,0.02,IF(X8&lt;2035,0.06,IF(X8&lt;2040,0.145,IF(X8&lt;2045,0.31,IF(X8&lt;2050,0.62,0.8)))))))))*(Vessel!$D$7*Fuel!$E$15*Fuel!$E$13)/Fuel!$E$14/Regulation!$D$16*Regulation!$D$15*Regulation!$D$18*Regulation!$D$8/1000000),0)</f>
        <v>0</v>
      </c>
      <c r="Y29" s="39">
        <f>IF(AND(22&lt;=Cargo!$D$15,Regulation!$D$14="Yes"),MAX(0,(Fuel!$E$14-Regulation!$D$17*(1-(IF(Y8&lt;2025,0,IF(Y8&lt;2030,0.02,IF(Y8&lt;2035,0.06,IF(Y8&lt;2040,0.145,IF(Y8&lt;2045,0.31,IF(Y8&lt;2050,0.62,0.8)))))))))*(Vessel!$D$7*Fuel!$E$15*Fuel!$E$13)/Fuel!$E$14/Regulation!$D$16*Regulation!$D$15*Regulation!$D$18*Regulation!$D$8/1000000),0)</f>
        <v>0</v>
      </c>
      <c r="Z29" s="39">
        <f>IF(AND(23&lt;=Cargo!$D$15,Regulation!$D$14="Yes"),MAX(0,(Fuel!$E$14-Regulation!$D$17*(1-(IF(Z8&lt;2025,0,IF(Z8&lt;2030,0.02,IF(Z8&lt;2035,0.06,IF(Z8&lt;2040,0.145,IF(Z8&lt;2045,0.31,IF(Z8&lt;2050,0.62,0.8)))))))))*(Vessel!$D$7*Fuel!$E$15*Fuel!$E$13)/Fuel!$E$14/Regulation!$D$16*Regulation!$D$15*Regulation!$D$18*Regulation!$D$8/1000000),0)</f>
        <v>0</v>
      </c>
      <c r="AA29" s="39">
        <f>IF(AND(24&lt;=Cargo!$D$15,Regulation!$D$14="Yes"),MAX(0,(Fuel!$E$14-Regulation!$D$17*(1-(IF(AA8&lt;2025,0,IF(AA8&lt;2030,0.02,IF(AA8&lt;2035,0.06,IF(AA8&lt;2040,0.145,IF(AA8&lt;2045,0.31,IF(AA8&lt;2050,0.62,0.8)))))))))*(Vessel!$D$7*Fuel!$E$15*Fuel!$E$13)/Fuel!$E$14/Regulation!$D$16*Regulation!$D$15*Regulation!$D$18*Regulation!$D$8/1000000),0)</f>
        <v>0</v>
      </c>
      <c r="AB29" s="39">
        <f>IF(AND(25&lt;=Cargo!$D$15,Regulation!$D$14="Yes"),MAX(0,(Fuel!$E$14-Regulation!$D$17*(1-(IF(AB8&lt;2025,0,IF(AB8&lt;2030,0.02,IF(AB8&lt;2035,0.06,IF(AB8&lt;2040,0.145,IF(AB8&lt;2045,0.31,IF(AB8&lt;2050,0.62,0.8)))))))))*(Vessel!$D$7*Fuel!$E$15*Fuel!$E$13)/Fuel!$E$14/Regulation!$D$16*Regulation!$D$15*Regulation!$D$18*Regulation!$D$8/1000000),0)</f>
        <v>0</v>
      </c>
      <c r="AC29" s="39">
        <f>IF(AND(26&lt;=Cargo!$D$15,Regulation!$D$14="Yes"),MAX(0,(Fuel!$E$14-Regulation!$D$17*(1-(IF(AC8&lt;2025,0,IF(AC8&lt;2030,0.02,IF(AC8&lt;2035,0.06,IF(AC8&lt;2040,0.145,IF(AC8&lt;2045,0.31,IF(AC8&lt;2050,0.62,0.8)))))))))*(Vessel!$D$7*Fuel!$E$15*Fuel!$E$13)/Fuel!$E$14/Regulation!$D$16*Regulation!$D$15*Regulation!$D$18*Regulation!$D$8/1000000),0)</f>
        <v>0</v>
      </c>
      <c r="AD29" s="39">
        <f>IF(AND(27&lt;=Cargo!$D$15,Regulation!$D$14="Yes"),MAX(0,(Fuel!$E$14-Regulation!$D$17*(1-(IF(AD8&lt;2025,0,IF(AD8&lt;2030,0.02,IF(AD8&lt;2035,0.06,IF(AD8&lt;2040,0.145,IF(AD8&lt;2045,0.31,IF(AD8&lt;2050,0.62,0.8)))))))))*(Vessel!$D$7*Fuel!$E$15*Fuel!$E$13)/Fuel!$E$14/Regulation!$D$16*Regulation!$D$15*Regulation!$D$18*Regulation!$D$8/1000000),0)</f>
        <v>0</v>
      </c>
      <c r="AE29" s="39">
        <f>IF(AND(28&lt;=Cargo!$D$15,Regulation!$D$14="Yes"),MAX(0,(Fuel!$E$14-Regulation!$D$17*(1-(IF(AE8&lt;2025,0,IF(AE8&lt;2030,0.02,IF(AE8&lt;2035,0.06,IF(AE8&lt;2040,0.145,IF(AE8&lt;2045,0.31,IF(AE8&lt;2050,0.62,0.8)))))))))*(Vessel!$D$7*Fuel!$E$15*Fuel!$E$13)/Fuel!$E$14/Regulation!$D$16*Regulation!$D$15*Regulation!$D$18*Regulation!$D$8/1000000),0)</f>
        <v>0</v>
      </c>
      <c r="AF29" s="39">
        <f>IF(AND(29&lt;=Cargo!$D$15,Regulation!$D$14="Yes"),MAX(0,(Fuel!$E$14-Regulation!$D$17*(1-(IF(AF8&lt;2025,0,IF(AF8&lt;2030,0.02,IF(AF8&lt;2035,0.06,IF(AF8&lt;2040,0.145,IF(AF8&lt;2045,0.31,IF(AF8&lt;2050,0.62,0.8)))))))))*(Vessel!$D$7*Fuel!$E$15*Fuel!$E$13)/Fuel!$E$14/Regulation!$D$16*Regulation!$D$15*Regulation!$D$18*Regulation!$D$8/1000000),0)</f>
        <v>0</v>
      </c>
      <c r="AG29" s="39">
        <f>IF(AND(30&lt;=Cargo!$D$15,Regulation!$D$14="Yes"),MAX(0,(Fuel!$E$14-Regulation!$D$17*(1-(IF(AG8&lt;2025,0,IF(AG8&lt;2030,0.02,IF(AG8&lt;2035,0.06,IF(AG8&lt;2040,0.145,IF(AG8&lt;2045,0.31,IF(AG8&lt;2050,0.62,0.8)))))))))*(Vessel!$D$7*Fuel!$E$15*Fuel!$E$13)/Fuel!$E$14/Regulation!$D$16*Regulation!$D$15*Regulation!$D$18*Regulation!$D$8/1000000),0)</f>
        <v>0</v>
      </c>
      <c r="AH29" s="39">
        <f>IF(AND(31&lt;=Cargo!$D$15,Regulation!$D$14="Yes"),MAX(0,(Fuel!$E$14-Regulation!$D$17*(1-(IF(AH8&lt;2025,0,IF(AH8&lt;2030,0.02,IF(AH8&lt;2035,0.06,IF(AH8&lt;2040,0.145,IF(AH8&lt;2045,0.31,IF(AH8&lt;2050,0.62,0.8)))))))))*(Vessel!$D$7*Fuel!$E$15*Fuel!$E$13)/Fuel!$E$14/Regulation!$D$16*Regulation!$D$15*Regulation!$D$18*Regulation!$D$8/1000000),0)</f>
        <v>0</v>
      </c>
      <c r="AI29" s="39">
        <f>IF(AND(32&lt;=Cargo!$D$15,Regulation!$D$14="Yes"),MAX(0,(Fuel!$E$14-Regulation!$D$17*(1-(IF(AI8&lt;2025,0,IF(AI8&lt;2030,0.02,IF(AI8&lt;2035,0.06,IF(AI8&lt;2040,0.145,IF(AI8&lt;2045,0.31,IF(AI8&lt;2050,0.62,0.8)))))))))*(Vessel!$D$7*Fuel!$E$15*Fuel!$E$13)/Fuel!$E$14/Regulation!$D$16*Regulation!$D$15*Regulation!$D$18*Regulation!$D$8/1000000),0)</f>
        <v>0</v>
      </c>
      <c r="AJ29" s="39">
        <f>IF(AND(33&lt;=Cargo!$D$15,Regulation!$D$14="Yes"),MAX(0,(Fuel!$E$14-Regulation!$D$17*(1-(IF(AJ8&lt;2025,0,IF(AJ8&lt;2030,0.02,IF(AJ8&lt;2035,0.06,IF(AJ8&lt;2040,0.145,IF(AJ8&lt;2045,0.31,IF(AJ8&lt;2050,0.62,0.8)))))))))*(Vessel!$D$7*Fuel!$E$15*Fuel!$E$13)/Fuel!$E$14/Regulation!$D$16*Regulation!$D$15*Regulation!$D$18*Regulation!$D$8/1000000),0)</f>
        <v>0</v>
      </c>
      <c r="AK29" s="39">
        <f>IF(AND(34&lt;=Cargo!$D$15,Regulation!$D$14="Yes"),MAX(0,(Fuel!$E$14-Regulation!$D$17*(1-(IF(AK8&lt;2025,0,IF(AK8&lt;2030,0.02,IF(AK8&lt;2035,0.06,IF(AK8&lt;2040,0.145,IF(AK8&lt;2045,0.31,IF(AK8&lt;2050,0.62,0.8)))))))))*(Vessel!$D$7*Fuel!$E$15*Fuel!$E$13)/Fuel!$E$14/Regulation!$D$16*Regulation!$D$15*Regulation!$D$18*Regulation!$D$8/1000000),0)</f>
        <v>0</v>
      </c>
      <c r="AL29" s="39">
        <f>IF(AND(35&lt;=Cargo!$D$15,Regulation!$D$14="Yes"),MAX(0,(Fuel!$E$14-Regulation!$D$17*(1-(IF(AL8&lt;2025,0,IF(AL8&lt;2030,0.02,IF(AL8&lt;2035,0.06,IF(AL8&lt;2040,0.145,IF(AL8&lt;2045,0.31,IF(AL8&lt;2050,0.62,0.8)))))))))*(Vessel!$D$7*Fuel!$E$15*Fuel!$E$13)/Fuel!$E$14/Regulation!$D$16*Regulation!$D$15*Regulation!$D$18*Regulation!$D$8/1000000),0)</f>
        <v>0</v>
      </c>
      <c r="AM29" s="39">
        <f>IF(AND(36&lt;=Cargo!$D$15,Regulation!$D$14="Yes"),MAX(0,(Fuel!$E$14-Regulation!$D$17*(1-(IF(AM8&lt;2025,0,IF(AM8&lt;2030,0.02,IF(AM8&lt;2035,0.06,IF(AM8&lt;2040,0.145,IF(AM8&lt;2045,0.31,IF(AM8&lt;2050,0.62,0.8)))))))))*(Vessel!$D$7*Fuel!$E$15*Fuel!$E$13)/Fuel!$E$14/Regulation!$D$16*Regulation!$D$15*Regulation!$D$18*Regulation!$D$8/1000000),0)</f>
        <v>0</v>
      </c>
      <c r="AN29" s="39">
        <f>IF(AND(37&lt;=Cargo!$D$15,Regulation!$D$14="Yes"),MAX(0,(Fuel!$E$14-Regulation!$D$17*(1-(IF(AN8&lt;2025,0,IF(AN8&lt;2030,0.02,IF(AN8&lt;2035,0.06,IF(AN8&lt;2040,0.145,IF(AN8&lt;2045,0.31,IF(AN8&lt;2050,0.62,0.8)))))))))*(Vessel!$D$7*Fuel!$E$15*Fuel!$E$13)/Fuel!$E$14/Regulation!$D$16*Regulation!$D$15*Regulation!$D$18*Regulation!$D$8/1000000),0)</f>
        <v>0</v>
      </c>
      <c r="AO29" s="39">
        <f>IF(AND(38&lt;=Cargo!$D$15,Regulation!$D$14="Yes"),MAX(0,(Fuel!$E$14-Regulation!$D$17*(1-(IF(AO8&lt;2025,0,IF(AO8&lt;2030,0.02,IF(AO8&lt;2035,0.06,IF(AO8&lt;2040,0.145,IF(AO8&lt;2045,0.31,IF(AO8&lt;2050,0.62,0.8)))))))))*(Vessel!$D$7*Fuel!$E$15*Fuel!$E$13)/Fuel!$E$14/Regulation!$D$16*Regulation!$D$15*Regulation!$D$18*Regulation!$D$8/1000000),0)</f>
        <v>0</v>
      </c>
      <c r="AP29" s="39">
        <f>IF(AND(39&lt;=Cargo!$D$15,Regulation!$D$14="Yes"),MAX(0,(Fuel!$E$14-Regulation!$D$17*(1-(IF(AP8&lt;2025,0,IF(AP8&lt;2030,0.02,IF(AP8&lt;2035,0.06,IF(AP8&lt;2040,0.145,IF(AP8&lt;2045,0.31,IF(AP8&lt;2050,0.62,0.8)))))))))*(Vessel!$D$7*Fuel!$E$15*Fuel!$E$13)/Fuel!$E$14/Regulation!$D$16*Regulation!$D$15*Regulation!$D$18*Regulation!$D$8/1000000),0)</f>
        <v>0</v>
      </c>
      <c r="AQ29" s="39">
        <f>IF(AND(40&lt;=Cargo!$D$15,Regulation!$D$14="Yes"),MAX(0,(Fuel!$E$14-Regulation!$D$17*(1-(IF(AQ8&lt;2025,0,IF(AQ8&lt;2030,0.02,IF(AQ8&lt;2035,0.06,IF(AQ8&lt;2040,0.145,IF(AQ8&lt;2045,0.31,IF(AQ8&lt;2050,0.62,0.8)))))))))*(Vessel!$D$7*Fuel!$E$15*Fuel!$E$13)/Fuel!$E$14/Regulation!$D$16*Regulation!$D$15*Regulation!$D$18*Regulation!$D$8/1000000),0)</f>
        <v>0</v>
      </c>
    </row>
    <row r="30" spans="2:43" ht="15" customHeight="1" x14ac:dyDescent="0.45">
      <c r="B30" s="38" t="s">
        <v>123</v>
      </c>
      <c r="D30" s="39">
        <f>IF(AND(1&lt;=Cargo!$D$15,Regulation!$D$24="Yes",Regulation!$D$25="Yes"),-Vessel!$D$7*Fuel!$E$15*(Regulation!$D$26/Regulation!$D$27*Fuel!$E$13)/1000000,0)</f>
        <v>0</v>
      </c>
      <c r="E30" s="39">
        <f>IF(AND(2&lt;=Cargo!$D$15,Regulation!$D$24="Yes",Regulation!$D$25="Yes"),-Vessel!$D$7*Fuel!$E$15*(Regulation!$D$26/Regulation!$D$27*Fuel!$E$13)/1000000,0)</f>
        <v>0</v>
      </c>
      <c r="F30" s="39">
        <f>IF(AND(3&lt;=Cargo!$D$15,Regulation!$D$24="Yes",Regulation!$D$25="Yes"),-Vessel!$D$7*Fuel!$E$15*(Regulation!$D$26/Regulation!$D$27*Fuel!$E$13)/1000000,0)</f>
        <v>0</v>
      </c>
      <c r="G30" s="39">
        <f>IF(AND(4&lt;=Cargo!$D$15,Regulation!$D$24="Yes",Regulation!$D$25="Yes"),-Vessel!$D$7*Fuel!$E$15*(Regulation!$D$26/Regulation!$D$27*Fuel!$E$13)/1000000,0)</f>
        <v>0</v>
      </c>
      <c r="H30" s="39">
        <f>IF(AND(5&lt;=Cargo!$D$15,Regulation!$D$24="Yes",Regulation!$D$25="Yes"),-Vessel!$D$7*Fuel!$E$15*(Regulation!$D$26/Regulation!$D$27*Fuel!$E$13)/1000000,0)</f>
        <v>0</v>
      </c>
      <c r="I30" s="39">
        <f>IF(AND(6&lt;=Cargo!$D$15,Regulation!$D$24="Yes",Regulation!$D$25="Yes"),-Vessel!$D$7*Fuel!$E$15*(Regulation!$D$26/Regulation!$D$27*Fuel!$E$13)/1000000,0)</f>
        <v>0</v>
      </c>
      <c r="J30" s="39">
        <f>IF(AND(7&lt;=Cargo!$D$15,Regulation!$D$24="Yes",Regulation!$D$25="Yes"),-Vessel!$D$7*Fuel!$E$15*(Regulation!$D$26/Regulation!$D$27*Fuel!$E$13)/1000000,0)</f>
        <v>0</v>
      </c>
      <c r="K30" s="39">
        <f>IF(AND(8&lt;=Cargo!$D$15,Regulation!$D$24="Yes",Regulation!$D$25="Yes"),-Vessel!$D$7*Fuel!$E$15*(Regulation!$D$26/Regulation!$D$27*Fuel!$E$13)/1000000,0)</f>
        <v>0</v>
      </c>
      <c r="L30" s="39">
        <f>IF(AND(9&lt;=Cargo!$D$15,Regulation!$D$24="Yes",Regulation!$D$25="Yes"),-Vessel!$D$7*Fuel!$E$15*(Regulation!$D$26/Regulation!$D$27*Fuel!$E$13)/1000000,0)</f>
        <v>0</v>
      </c>
      <c r="M30" s="39">
        <f>IF(AND(10&lt;=Cargo!$D$15,Regulation!$D$24="Yes",Regulation!$D$25="Yes"),-Vessel!$D$7*Fuel!$E$15*(Regulation!$D$26/Regulation!$D$27*Fuel!$E$13)/1000000,0)</f>
        <v>0</v>
      </c>
      <c r="N30" s="39">
        <f>IF(AND(11&lt;=Cargo!$D$15,Regulation!$D$24="Yes",Regulation!$D$25="Yes"),-Vessel!$D$7*Fuel!$E$15*(Regulation!$D$26/Regulation!$D$27*Fuel!$E$13)/1000000,0)</f>
        <v>0</v>
      </c>
      <c r="O30" s="39">
        <f>IF(AND(12&lt;=Cargo!$D$15,Regulation!$D$24="Yes",Regulation!$D$25="Yes"),-Vessel!$D$7*Fuel!$E$15*(Regulation!$D$26/Regulation!$D$27*Fuel!$E$13)/1000000,0)</f>
        <v>0</v>
      </c>
      <c r="P30" s="39">
        <f>IF(AND(13&lt;=Cargo!$D$15,Regulation!$D$24="Yes",Regulation!$D$25="Yes"),-Vessel!$D$7*Fuel!$E$15*(Regulation!$D$26/Regulation!$D$27*Fuel!$E$13)/1000000,0)</f>
        <v>0</v>
      </c>
      <c r="Q30" s="39">
        <f>IF(AND(14&lt;=Cargo!$D$15,Regulation!$D$24="Yes",Regulation!$D$25="Yes"),-Vessel!$D$7*Fuel!$E$15*(Regulation!$D$26/Regulation!$D$27*Fuel!$E$13)/1000000,0)</f>
        <v>0</v>
      </c>
      <c r="R30" s="39">
        <f>IF(AND(15&lt;=Cargo!$D$15,Regulation!$D$24="Yes",Regulation!$D$25="Yes"),-Vessel!$D$7*Fuel!$E$15*(Regulation!$D$26/Regulation!$D$27*Fuel!$E$13)/1000000,0)</f>
        <v>0</v>
      </c>
      <c r="S30" s="39">
        <f>IF(AND(16&lt;=Cargo!$D$15,Regulation!$D$24="Yes",Regulation!$D$25="Yes"),-Vessel!$D$7*Fuel!$E$15*(Regulation!$D$26/Regulation!$D$27*Fuel!$E$13)/1000000,0)</f>
        <v>0</v>
      </c>
      <c r="T30" s="39">
        <f>IF(AND(17&lt;=Cargo!$D$15,Regulation!$D$24="Yes",Regulation!$D$25="Yes"),-Vessel!$D$7*Fuel!$E$15*(Regulation!$D$26/Regulation!$D$27*Fuel!$E$13)/1000000,0)</f>
        <v>0</v>
      </c>
      <c r="U30" s="39">
        <f>IF(AND(18&lt;=Cargo!$D$15,Regulation!$D$24="Yes",Regulation!$D$25="Yes"),-Vessel!$D$7*Fuel!$E$15*(Regulation!$D$26/Regulation!$D$27*Fuel!$E$13)/1000000,0)</f>
        <v>0</v>
      </c>
      <c r="V30" s="39">
        <f>IF(AND(19&lt;=Cargo!$D$15,Regulation!$D$24="Yes",Regulation!$D$25="Yes"),-Vessel!$D$7*Fuel!$E$15*(Regulation!$D$26/Regulation!$D$27*Fuel!$E$13)/1000000,0)</f>
        <v>0</v>
      </c>
      <c r="W30" s="39">
        <f>IF(AND(20&lt;=Cargo!$D$15,Regulation!$D$24="Yes",Regulation!$D$25="Yes"),-Vessel!$D$7*Fuel!$E$15*(Regulation!$D$26/Regulation!$D$27*Fuel!$E$13)/1000000,0)</f>
        <v>0</v>
      </c>
      <c r="X30" s="39">
        <f>IF(AND(21&lt;=Cargo!$D$15,Regulation!$D$24="Yes",Regulation!$D$25="Yes"),-Vessel!$D$7*Fuel!$E$15*(Regulation!$D$26/Regulation!$D$27*Fuel!$E$13)/1000000,0)</f>
        <v>0</v>
      </c>
      <c r="Y30" s="39">
        <f>IF(AND(22&lt;=Cargo!$D$15,Regulation!$D$24="Yes",Regulation!$D$25="Yes"),-Vessel!$D$7*Fuel!$E$15*(Regulation!$D$26/Regulation!$D$27*Fuel!$E$13)/1000000,0)</f>
        <v>0</v>
      </c>
      <c r="Z30" s="39">
        <f>IF(AND(23&lt;=Cargo!$D$15,Regulation!$D$24="Yes",Regulation!$D$25="Yes"),-Vessel!$D$7*Fuel!$E$15*(Regulation!$D$26/Regulation!$D$27*Fuel!$E$13)/1000000,0)</f>
        <v>0</v>
      </c>
      <c r="AA30" s="39">
        <f>IF(AND(24&lt;=Cargo!$D$15,Regulation!$D$24="Yes",Regulation!$D$25="Yes"),-Vessel!$D$7*Fuel!$E$15*(Regulation!$D$26/Regulation!$D$27*Fuel!$E$13)/1000000,0)</f>
        <v>0</v>
      </c>
      <c r="AB30" s="39">
        <f>IF(AND(25&lt;=Cargo!$D$15,Regulation!$D$24="Yes",Regulation!$D$25="Yes"),-Vessel!$D$7*Fuel!$E$15*(Regulation!$D$26/Regulation!$D$27*Fuel!$E$13)/1000000,0)</f>
        <v>0</v>
      </c>
      <c r="AC30" s="39">
        <f>IF(AND(26&lt;=Cargo!$D$15,Regulation!$D$24="Yes",Regulation!$D$25="Yes"),-Vessel!$D$7*Fuel!$E$15*(Regulation!$D$26/Regulation!$D$27*Fuel!$E$13)/1000000,0)</f>
        <v>0</v>
      </c>
      <c r="AD30" s="39">
        <f>IF(AND(27&lt;=Cargo!$D$15,Regulation!$D$24="Yes",Regulation!$D$25="Yes"),-Vessel!$D$7*Fuel!$E$15*(Regulation!$D$26/Regulation!$D$27*Fuel!$E$13)/1000000,0)</f>
        <v>0</v>
      </c>
      <c r="AE30" s="39">
        <f>IF(AND(28&lt;=Cargo!$D$15,Regulation!$D$24="Yes",Regulation!$D$25="Yes"),-Vessel!$D$7*Fuel!$E$15*(Regulation!$D$26/Regulation!$D$27*Fuel!$E$13)/1000000,0)</f>
        <v>0</v>
      </c>
      <c r="AF30" s="39">
        <f>IF(AND(29&lt;=Cargo!$D$15,Regulation!$D$24="Yes",Regulation!$D$25="Yes"),-Vessel!$D$7*Fuel!$E$15*(Regulation!$D$26/Regulation!$D$27*Fuel!$E$13)/1000000,0)</f>
        <v>0</v>
      </c>
      <c r="AG30" s="39">
        <f>IF(AND(30&lt;=Cargo!$D$15,Regulation!$D$24="Yes",Regulation!$D$25="Yes"),-Vessel!$D$7*Fuel!$E$15*(Regulation!$D$26/Regulation!$D$27*Fuel!$E$13)/1000000,0)</f>
        <v>0</v>
      </c>
      <c r="AH30" s="39">
        <f>IF(AND(31&lt;=Cargo!$D$15,Regulation!$D$24="Yes",Regulation!$D$25="Yes"),-Vessel!$D$7*Fuel!$E$15*(Regulation!$D$26/Regulation!$D$27*Fuel!$E$13)/1000000,0)</f>
        <v>0</v>
      </c>
      <c r="AI30" s="39">
        <f>IF(AND(32&lt;=Cargo!$D$15,Regulation!$D$24="Yes",Regulation!$D$25="Yes"),-Vessel!$D$7*Fuel!$E$15*(Regulation!$D$26/Regulation!$D$27*Fuel!$E$13)/1000000,0)</f>
        <v>0</v>
      </c>
      <c r="AJ30" s="39">
        <f>IF(AND(33&lt;=Cargo!$D$15,Regulation!$D$24="Yes",Regulation!$D$25="Yes"),-Vessel!$D$7*Fuel!$E$15*(Regulation!$D$26/Regulation!$D$27*Fuel!$E$13)/1000000,0)</f>
        <v>0</v>
      </c>
      <c r="AK30" s="39">
        <f>IF(AND(34&lt;=Cargo!$D$15,Regulation!$D$24="Yes",Regulation!$D$25="Yes"),-Vessel!$D$7*Fuel!$E$15*(Regulation!$D$26/Regulation!$D$27*Fuel!$E$13)/1000000,0)</f>
        <v>0</v>
      </c>
      <c r="AL30" s="39">
        <f>IF(AND(35&lt;=Cargo!$D$15,Regulation!$D$24="Yes",Regulation!$D$25="Yes"),-Vessel!$D$7*Fuel!$E$15*(Regulation!$D$26/Regulation!$D$27*Fuel!$E$13)/1000000,0)</f>
        <v>0</v>
      </c>
      <c r="AM30" s="39">
        <f>IF(AND(36&lt;=Cargo!$D$15,Regulation!$D$24="Yes",Regulation!$D$25="Yes"),-Vessel!$D$7*Fuel!$E$15*(Regulation!$D$26/Regulation!$D$27*Fuel!$E$13)/1000000,0)</f>
        <v>0</v>
      </c>
      <c r="AN30" s="39">
        <f>IF(AND(37&lt;=Cargo!$D$15,Regulation!$D$24="Yes",Regulation!$D$25="Yes"),-Vessel!$D$7*Fuel!$E$15*(Regulation!$D$26/Regulation!$D$27*Fuel!$E$13)/1000000,0)</f>
        <v>0</v>
      </c>
      <c r="AO30" s="39">
        <f>IF(AND(38&lt;=Cargo!$D$15,Regulation!$D$24="Yes",Regulation!$D$25="Yes"),-Vessel!$D$7*Fuel!$E$15*(Regulation!$D$26/Regulation!$D$27*Fuel!$E$13)/1000000,0)</f>
        <v>0</v>
      </c>
      <c r="AP30" s="39">
        <f>IF(AND(39&lt;=Cargo!$D$15,Regulation!$D$24="Yes",Regulation!$D$25="Yes"),-Vessel!$D$7*Fuel!$E$15*(Regulation!$D$26/Regulation!$D$27*Fuel!$E$13)/1000000,0)</f>
        <v>0</v>
      </c>
      <c r="AQ30" s="39">
        <f>IF(AND(40&lt;=Cargo!$D$15,Regulation!$D$24="Yes",Regulation!$D$25="Yes"),-Vessel!$D$7*Fuel!$E$15*(Regulation!$D$26/Regulation!$D$27*Fuel!$E$13)/1000000,0)</f>
        <v>0</v>
      </c>
    </row>
    <row r="31" spans="2:43" ht="15" customHeight="1" x14ac:dyDescent="0.45">
      <c r="B31" s="38" t="s">
        <v>124</v>
      </c>
      <c r="D31" s="39">
        <f>IF(AND(1&lt;=Cargo!$D$15,Regulation!$D$31="Yes"),Vessel!$D$7*Fuel!$E$15*Fuel!$E$12*Regulation!$D$32/1000000-Vessel!$D$7*Fuel!$E$15*1000*Regulation!$D$33/1000000-Regulation!$D$34*D25-Regulation!$D$35*D26-Regulation!$D$36,0)</f>
        <v>0</v>
      </c>
      <c r="E31" s="39">
        <f>IF(AND(2&lt;=Cargo!$D$15,Regulation!$D$31="Yes"),Vessel!$D$7*Fuel!$E$15*Fuel!$E$12*Regulation!$D$32/1000000-Vessel!$D$7*Fuel!$E$15*1000*Regulation!$D$33/1000000-Regulation!$D$34*E25-Regulation!$D$35*E26-Regulation!$D$36,0)</f>
        <v>0</v>
      </c>
      <c r="F31" s="39">
        <f>IF(AND(3&lt;=Cargo!$D$15,Regulation!$D$31="Yes"),Vessel!$D$7*Fuel!$E$15*Fuel!$E$12*Regulation!$D$32/1000000-Vessel!$D$7*Fuel!$E$15*1000*Regulation!$D$33/1000000-Regulation!$D$34*F25-Regulation!$D$35*F26-Regulation!$D$36,0)</f>
        <v>0</v>
      </c>
      <c r="G31" s="39">
        <f>IF(AND(4&lt;=Cargo!$D$15,Regulation!$D$31="Yes"),Vessel!$D$7*Fuel!$E$15*Fuel!$E$12*Regulation!$D$32/1000000-Vessel!$D$7*Fuel!$E$15*1000*Regulation!$D$33/1000000-Regulation!$D$34*G25-Regulation!$D$35*G26-Regulation!$D$36,0)</f>
        <v>0</v>
      </c>
      <c r="H31" s="39">
        <f>IF(AND(5&lt;=Cargo!$D$15,Regulation!$D$31="Yes"),Vessel!$D$7*Fuel!$E$15*Fuel!$E$12*Regulation!$D$32/1000000-Vessel!$D$7*Fuel!$E$15*1000*Regulation!$D$33/1000000-Regulation!$D$34*H25-Regulation!$D$35*H26-Regulation!$D$36,0)</f>
        <v>0</v>
      </c>
      <c r="I31" s="39">
        <f>IF(AND(6&lt;=Cargo!$D$15,Regulation!$D$31="Yes"),Vessel!$D$7*Fuel!$E$15*Fuel!$E$12*Regulation!$D$32/1000000-Vessel!$D$7*Fuel!$E$15*1000*Regulation!$D$33/1000000-Regulation!$D$34*I25-Regulation!$D$35*I26-Regulation!$D$36,0)</f>
        <v>0</v>
      </c>
      <c r="J31" s="39">
        <f>IF(AND(7&lt;=Cargo!$D$15,Regulation!$D$31="Yes"),Vessel!$D$7*Fuel!$E$15*Fuel!$E$12*Regulation!$D$32/1000000-Vessel!$D$7*Fuel!$E$15*1000*Regulation!$D$33/1000000-Regulation!$D$34*J25-Regulation!$D$35*J26-Regulation!$D$36,0)</f>
        <v>0</v>
      </c>
      <c r="K31" s="39">
        <f>IF(AND(8&lt;=Cargo!$D$15,Regulation!$D$31="Yes"),Vessel!$D$7*Fuel!$E$15*Fuel!$E$12*Regulation!$D$32/1000000-Vessel!$D$7*Fuel!$E$15*1000*Regulation!$D$33/1000000-Regulation!$D$34*K25-Regulation!$D$35*K26-Regulation!$D$36,0)</f>
        <v>0</v>
      </c>
      <c r="L31" s="39">
        <f>IF(AND(9&lt;=Cargo!$D$15,Regulation!$D$31="Yes"),Vessel!$D$7*Fuel!$E$15*Fuel!$E$12*Regulation!$D$32/1000000-Vessel!$D$7*Fuel!$E$15*1000*Regulation!$D$33/1000000-Regulation!$D$34*L25-Regulation!$D$35*L26-Regulation!$D$36,0)</f>
        <v>0</v>
      </c>
      <c r="M31" s="39">
        <f>IF(AND(10&lt;=Cargo!$D$15,Regulation!$D$31="Yes"),Vessel!$D$7*Fuel!$E$15*Fuel!$E$12*Regulation!$D$32/1000000-Vessel!$D$7*Fuel!$E$15*1000*Regulation!$D$33/1000000-Regulation!$D$34*M25-Regulation!$D$35*M26-Regulation!$D$36,0)</f>
        <v>0</v>
      </c>
      <c r="N31" s="39">
        <f>IF(AND(11&lt;=Cargo!$D$15,Regulation!$D$31="Yes"),Vessel!$D$7*Fuel!$E$15*Fuel!$E$12*Regulation!$D$32/1000000-Vessel!$D$7*Fuel!$E$15*1000*Regulation!$D$33/1000000-Regulation!$D$34*N25-Regulation!$D$35*N26-Regulation!$D$36,0)</f>
        <v>0</v>
      </c>
      <c r="O31" s="39">
        <f>IF(AND(12&lt;=Cargo!$D$15,Regulation!$D$31="Yes"),Vessel!$D$7*Fuel!$E$15*Fuel!$E$12*Regulation!$D$32/1000000-Vessel!$D$7*Fuel!$E$15*1000*Regulation!$D$33/1000000-Regulation!$D$34*O25-Regulation!$D$35*O26-Regulation!$D$36,0)</f>
        <v>0</v>
      </c>
      <c r="P31" s="39">
        <f>IF(AND(13&lt;=Cargo!$D$15,Regulation!$D$31="Yes"),Vessel!$D$7*Fuel!$E$15*Fuel!$E$12*Regulation!$D$32/1000000-Vessel!$D$7*Fuel!$E$15*1000*Regulation!$D$33/1000000-Regulation!$D$34*P25-Regulation!$D$35*P26-Regulation!$D$36,0)</f>
        <v>0</v>
      </c>
      <c r="Q31" s="39">
        <f>IF(AND(14&lt;=Cargo!$D$15,Regulation!$D$31="Yes"),Vessel!$D$7*Fuel!$E$15*Fuel!$E$12*Regulation!$D$32/1000000-Vessel!$D$7*Fuel!$E$15*1000*Regulation!$D$33/1000000-Regulation!$D$34*Q25-Regulation!$D$35*Q26-Regulation!$D$36,0)</f>
        <v>0</v>
      </c>
      <c r="R31" s="39">
        <f>IF(AND(15&lt;=Cargo!$D$15,Regulation!$D$31="Yes"),Vessel!$D$7*Fuel!$E$15*Fuel!$E$12*Regulation!$D$32/1000000-Vessel!$D$7*Fuel!$E$15*1000*Regulation!$D$33/1000000-Regulation!$D$34*R25-Regulation!$D$35*R26-Regulation!$D$36,0)</f>
        <v>0</v>
      </c>
      <c r="S31" s="39">
        <f>IF(AND(16&lt;=Cargo!$D$15,Regulation!$D$31="Yes"),Vessel!$D$7*Fuel!$E$15*Fuel!$E$12*Regulation!$D$32/1000000-Vessel!$D$7*Fuel!$E$15*1000*Regulation!$D$33/1000000-Regulation!$D$34*S25-Regulation!$D$35*S26-Regulation!$D$36,0)</f>
        <v>0</v>
      </c>
      <c r="T31" s="39">
        <f>IF(AND(17&lt;=Cargo!$D$15,Regulation!$D$31="Yes"),Vessel!$D$7*Fuel!$E$15*Fuel!$E$12*Regulation!$D$32/1000000-Vessel!$D$7*Fuel!$E$15*1000*Regulation!$D$33/1000000-Regulation!$D$34*T25-Regulation!$D$35*T26-Regulation!$D$36,0)</f>
        <v>0</v>
      </c>
      <c r="U31" s="39">
        <f>IF(AND(18&lt;=Cargo!$D$15,Regulation!$D$31="Yes"),Vessel!$D$7*Fuel!$E$15*Fuel!$E$12*Regulation!$D$32/1000000-Vessel!$D$7*Fuel!$E$15*1000*Regulation!$D$33/1000000-Regulation!$D$34*U25-Regulation!$D$35*U26-Regulation!$D$36,0)</f>
        <v>0</v>
      </c>
      <c r="V31" s="39">
        <f>IF(AND(19&lt;=Cargo!$D$15,Regulation!$D$31="Yes"),Vessel!$D$7*Fuel!$E$15*Fuel!$E$12*Regulation!$D$32/1000000-Vessel!$D$7*Fuel!$E$15*1000*Regulation!$D$33/1000000-Regulation!$D$34*V25-Regulation!$D$35*V26-Regulation!$D$36,0)</f>
        <v>0</v>
      </c>
      <c r="W31" s="39">
        <f>IF(AND(20&lt;=Cargo!$D$15,Regulation!$D$31="Yes"),Vessel!$D$7*Fuel!$E$15*Fuel!$E$12*Regulation!$D$32/1000000-Vessel!$D$7*Fuel!$E$15*1000*Regulation!$D$33/1000000-Regulation!$D$34*W25-Regulation!$D$35*W26-Regulation!$D$36,0)</f>
        <v>0</v>
      </c>
      <c r="X31" s="39">
        <f>IF(AND(21&lt;=Cargo!$D$15,Regulation!$D$31="Yes"),Vessel!$D$7*Fuel!$E$15*Fuel!$E$12*Regulation!$D$32/1000000-Vessel!$D$7*Fuel!$E$15*1000*Regulation!$D$33/1000000-Regulation!$D$34*X25-Regulation!$D$35*X26-Regulation!$D$36,0)</f>
        <v>0</v>
      </c>
      <c r="Y31" s="39">
        <f>IF(AND(22&lt;=Cargo!$D$15,Regulation!$D$31="Yes"),Vessel!$D$7*Fuel!$E$15*Fuel!$E$12*Regulation!$D$32/1000000-Vessel!$D$7*Fuel!$E$15*1000*Regulation!$D$33/1000000-Regulation!$D$34*Y25-Regulation!$D$35*Y26-Regulation!$D$36,0)</f>
        <v>0</v>
      </c>
      <c r="Z31" s="39">
        <f>IF(AND(23&lt;=Cargo!$D$15,Regulation!$D$31="Yes"),Vessel!$D$7*Fuel!$E$15*Fuel!$E$12*Regulation!$D$32/1000000-Vessel!$D$7*Fuel!$E$15*1000*Regulation!$D$33/1000000-Regulation!$D$34*Z25-Regulation!$D$35*Z26-Regulation!$D$36,0)</f>
        <v>0</v>
      </c>
      <c r="AA31" s="39">
        <f>IF(AND(24&lt;=Cargo!$D$15,Regulation!$D$31="Yes"),Vessel!$D$7*Fuel!$E$15*Fuel!$E$12*Regulation!$D$32/1000000-Vessel!$D$7*Fuel!$E$15*1000*Regulation!$D$33/1000000-Regulation!$D$34*AA25-Regulation!$D$35*AA26-Regulation!$D$36,0)</f>
        <v>0</v>
      </c>
      <c r="AB31" s="39">
        <f>IF(AND(25&lt;=Cargo!$D$15,Regulation!$D$31="Yes"),Vessel!$D$7*Fuel!$E$15*Fuel!$E$12*Regulation!$D$32/1000000-Vessel!$D$7*Fuel!$E$15*1000*Regulation!$D$33/1000000-Regulation!$D$34*AB25-Regulation!$D$35*AB26-Regulation!$D$36,0)</f>
        <v>0</v>
      </c>
      <c r="AC31" s="39">
        <f>IF(AND(26&lt;=Cargo!$D$15,Regulation!$D$31="Yes"),Vessel!$D$7*Fuel!$E$15*Fuel!$E$12*Regulation!$D$32/1000000-Vessel!$D$7*Fuel!$E$15*1000*Regulation!$D$33/1000000-Regulation!$D$34*AC25-Regulation!$D$35*AC26-Regulation!$D$36,0)</f>
        <v>0</v>
      </c>
      <c r="AD31" s="39">
        <f>IF(AND(27&lt;=Cargo!$D$15,Regulation!$D$31="Yes"),Vessel!$D$7*Fuel!$E$15*Fuel!$E$12*Regulation!$D$32/1000000-Vessel!$D$7*Fuel!$E$15*1000*Regulation!$D$33/1000000-Regulation!$D$34*AD25-Regulation!$D$35*AD26-Regulation!$D$36,0)</f>
        <v>0</v>
      </c>
      <c r="AE31" s="39">
        <f>IF(AND(28&lt;=Cargo!$D$15,Regulation!$D$31="Yes"),Vessel!$D$7*Fuel!$E$15*Fuel!$E$12*Regulation!$D$32/1000000-Vessel!$D$7*Fuel!$E$15*1000*Regulation!$D$33/1000000-Regulation!$D$34*AE25-Regulation!$D$35*AE26-Regulation!$D$36,0)</f>
        <v>0</v>
      </c>
      <c r="AF31" s="39">
        <f>IF(AND(29&lt;=Cargo!$D$15,Regulation!$D$31="Yes"),Vessel!$D$7*Fuel!$E$15*Fuel!$E$12*Regulation!$D$32/1000000-Vessel!$D$7*Fuel!$E$15*1000*Regulation!$D$33/1000000-Regulation!$D$34*AF25-Regulation!$D$35*AF26-Regulation!$D$36,0)</f>
        <v>0</v>
      </c>
      <c r="AG31" s="39">
        <f>IF(AND(30&lt;=Cargo!$D$15,Regulation!$D$31="Yes"),Vessel!$D$7*Fuel!$E$15*Fuel!$E$12*Regulation!$D$32/1000000-Vessel!$D$7*Fuel!$E$15*1000*Regulation!$D$33/1000000-Regulation!$D$34*AG25-Regulation!$D$35*AG26-Regulation!$D$36,0)</f>
        <v>0</v>
      </c>
      <c r="AH31" s="39">
        <f>IF(AND(31&lt;=Cargo!$D$15,Regulation!$D$31="Yes"),Vessel!$D$7*Fuel!$E$15*Fuel!$E$12*Regulation!$D$32/1000000-Vessel!$D$7*Fuel!$E$15*1000*Regulation!$D$33/1000000-Regulation!$D$34*AH25-Regulation!$D$35*AH26-Regulation!$D$36,0)</f>
        <v>0</v>
      </c>
      <c r="AI31" s="39">
        <f>IF(AND(32&lt;=Cargo!$D$15,Regulation!$D$31="Yes"),Vessel!$D$7*Fuel!$E$15*Fuel!$E$12*Regulation!$D$32/1000000-Vessel!$D$7*Fuel!$E$15*1000*Regulation!$D$33/1000000-Regulation!$D$34*AI25-Regulation!$D$35*AI26-Regulation!$D$36,0)</f>
        <v>0</v>
      </c>
      <c r="AJ31" s="39">
        <f>IF(AND(33&lt;=Cargo!$D$15,Regulation!$D$31="Yes"),Vessel!$D$7*Fuel!$E$15*Fuel!$E$12*Regulation!$D$32/1000000-Vessel!$D$7*Fuel!$E$15*1000*Regulation!$D$33/1000000-Regulation!$D$34*AJ25-Regulation!$D$35*AJ26-Regulation!$D$36,0)</f>
        <v>0</v>
      </c>
      <c r="AK31" s="39">
        <f>IF(AND(34&lt;=Cargo!$D$15,Regulation!$D$31="Yes"),Vessel!$D$7*Fuel!$E$15*Fuel!$E$12*Regulation!$D$32/1000000-Vessel!$D$7*Fuel!$E$15*1000*Regulation!$D$33/1000000-Regulation!$D$34*AK25-Regulation!$D$35*AK26-Regulation!$D$36,0)</f>
        <v>0</v>
      </c>
      <c r="AL31" s="39">
        <f>IF(AND(35&lt;=Cargo!$D$15,Regulation!$D$31="Yes"),Vessel!$D$7*Fuel!$E$15*Fuel!$E$12*Regulation!$D$32/1000000-Vessel!$D$7*Fuel!$E$15*1000*Regulation!$D$33/1000000-Regulation!$D$34*AL25-Regulation!$D$35*AL26-Regulation!$D$36,0)</f>
        <v>0</v>
      </c>
      <c r="AM31" s="39">
        <f>IF(AND(36&lt;=Cargo!$D$15,Regulation!$D$31="Yes"),Vessel!$D$7*Fuel!$E$15*Fuel!$E$12*Regulation!$D$32/1000000-Vessel!$D$7*Fuel!$E$15*1000*Regulation!$D$33/1000000-Regulation!$D$34*AM25-Regulation!$D$35*AM26-Regulation!$D$36,0)</f>
        <v>0</v>
      </c>
      <c r="AN31" s="39">
        <f>IF(AND(37&lt;=Cargo!$D$15,Regulation!$D$31="Yes"),Vessel!$D$7*Fuel!$E$15*Fuel!$E$12*Regulation!$D$32/1000000-Vessel!$D$7*Fuel!$E$15*1000*Regulation!$D$33/1000000-Regulation!$D$34*AN25-Regulation!$D$35*AN26-Regulation!$D$36,0)</f>
        <v>0</v>
      </c>
      <c r="AO31" s="39">
        <f>IF(AND(38&lt;=Cargo!$D$15,Regulation!$D$31="Yes"),Vessel!$D$7*Fuel!$E$15*Fuel!$E$12*Regulation!$D$32/1000000-Vessel!$D$7*Fuel!$E$15*1000*Regulation!$D$33/1000000-Regulation!$D$34*AO25-Regulation!$D$35*AO26-Regulation!$D$36,0)</f>
        <v>0</v>
      </c>
      <c r="AP31" s="39">
        <f>IF(AND(39&lt;=Cargo!$D$15,Regulation!$D$31="Yes"),Vessel!$D$7*Fuel!$E$15*Fuel!$E$12*Regulation!$D$32/1000000-Vessel!$D$7*Fuel!$E$15*1000*Regulation!$D$33/1000000-Regulation!$D$34*AP25-Regulation!$D$35*AP26-Regulation!$D$36,0)</f>
        <v>0</v>
      </c>
      <c r="AQ31" s="39">
        <f>IF(AND(40&lt;=Cargo!$D$15,Regulation!$D$31="Yes"),Vessel!$D$7*Fuel!$E$15*Fuel!$E$12*Regulation!$D$32/1000000-Vessel!$D$7*Fuel!$E$15*1000*Regulation!$D$33/1000000-Regulation!$D$34*AQ25-Regulation!$D$35*AQ26-Regulation!$D$36,0)</f>
        <v>0</v>
      </c>
    </row>
    <row r="32" spans="2:43" ht="15" customHeight="1" x14ac:dyDescent="0.45">
      <c r="B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</row>
    <row r="33" spans="2:43" ht="15" customHeight="1" x14ac:dyDescent="0.45">
      <c r="B33" s="34" t="s">
        <v>125</v>
      </c>
      <c r="D33" s="41">
        <f t="shared" ref="D33:AQ33" si="2">+D25+D26+D28+D29+D30+D31</f>
        <v>104.34487741935484</v>
      </c>
      <c r="E33" s="41">
        <f t="shared" si="2"/>
        <v>7.4913290322580641</v>
      </c>
      <c r="F33" s="41">
        <f t="shared" si="2"/>
        <v>7.6407096774193546</v>
      </c>
      <c r="G33" s="41">
        <f t="shared" si="2"/>
        <v>7.7930779354838702</v>
      </c>
      <c r="H33" s="41">
        <f t="shared" si="2"/>
        <v>7.9484935587096768</v>
      </c>
      <c r="I33" s="41">
        <f t="shared" si="2"/>
        <v>8.1070174944000009</v>
      </c>
      <c r="J33" s="41">
        <f t="shared" si="2"/>
        <v>8.2687119088041303</v>
      </c>
      <c r="K33" s="41">
        <f t="shared" si="2"/>
        <v>8.4336402114963391</v>
      </c>
      <c r="L33" s="41">
        <f t="shared" si="2"/>
        <v>8.6018670802423962</v>
      </c>
      <c r="M33" s="41">
        <f t="shared" si="2"/>
        <v>8.7734584863633742</v>
      </c>
      <c r="N33" s="41">
        <f t="shared" si="2"/>
        <v>8.9484817206067717</v>
      </c>
      <c r="O33" s="41">
        <f t="shared" si="2"/>
        <v>9.1270054195350312</v>
      </c>
      <c r="P33" s="41">
        <f t="shared" si="2"/>
        <v>9.3090995924418642</v>
      </c>
      <c r="Q33" s="41">
        <f t="shared" si="2"/>
        <v>9.4948356488068306</v>
      </c>
      <c r="R33" s="41">
        <f t="shared" si="2"/>
        <v>9.6842864262990958</v>
      </c>
      <c r="S33" s="41">
        <f t="shared" si="2"/>
        <v>9.8775262193412061</v>
      </c>
      <c r="T33" s="41">
        <f t="shared" si="2"/>
        <v>10.07463080824416</v>
      </c>
      <c r="U33" s="41">
        <f t="shared" si="2"/>
        <v>10.275677488925172</v>
      </c>
      <c r="V33" s="41">
        <f t="shared" si="2"/>
        <v>10.480745103219805</v>
      </c>
      <c r="W33" s="41">
        <f t="shared" si="2"/>
        <v>10.689914069800327</v>
      </c>
      <c r="X33" s="41">
        <f t="shared" si="2"/>
        <v>0</v>
      </c>
      <c r="Y33" s="41">
        <f t="shared" si="2"/>
        <v>0</v>
      </c>
      <c r="Z33" s="41">
        <f t="shared" si="2"/>
        <v>0</v>
      </c>
      <c r="AA33" s="41">
        <f t="shared" si="2"/>
        <v>0</v>
      </c>
      <c r="AB33" s="41">
        <f t="shared" si="2"/>
        <v>0</v>
      </c>
      <c r="AC33" s="41">
        <f t="shared" si="2"/>
        <v>0</v>
      </c>
      <c r="AD33" s="41">
        <f t="shared" si="2"/>
        <v>0</v>
      </c>
      <c r="AE33" s="41">
        <f t="shared" si="2"/>
        <v>0</v>
      </c>
      <c r="AF33" s="41">
        <f t="shared" si="2"/>
        <v>0</v>
      </c>
      <c r="AG33" s="41">
        <f t="shared" si="2"/>
        <v>0</v>
      </c>
      <c r="AH33" s="41">
        <f t="shared" si="2"/>
        <v>0</v>
      </c>
      <c r="AI33" s="41">
        <f t="shared" si="2"/>
        <v>0</v>
      </c>
      <c r="AJ33" s="41">
        <f t="shared" si="2"/>
        <v>0</v>
      </c>
      <c r="AK33" s="41">
        <f t="shared" si="2"/>
        <v>0</v>
      </c>
      <c r="AL33" s="41">
        <f t="shared" si="2"/>
        <v>0</v>
      </c>
      <c r="AM33" s="41">
        <f t="shared" si="2"/>
        <v>0</v>
      </c>
      <c r="AN33" s="41">
        <f t="shared" si="2"/>
        <v>0</v>
      </c>
      <c r="AO33" s="41">
        <f t="shared" si="2"/>
        <v>0</v>
      </c>
      <c r="AP33" s="41">
        <f t="shared" si="2"/>
        <v>0</v>
      </c>
      <c r="AQ33" s="41">
        <f t="shared" si="2"/>
        <v>0</v>
      </c>
    </row>
    <row r="34" spans="2:43" ht="15" customHeight="1" x14ac:dyDescent="0.45">
      <c r="B34" s="38" t="s">
        <v>126</v>
      </c>
      <c r="D34" s="42">
        <f>1/(1+Cargo!$E$17)^(1-1)</f>
        <v>1</v>
      </c>
      <c r="E34" s="42">
        <f>1/(1+Cargo!$E$17)^(2-1)</f>
        <v>0.94786729857819907</v>
      </c>
      <c r="F34" s="42">
        <f>1/(1+Cargo!$E$17)^(3-1)</f>
        <v>0.89845241571393286</v>
      </c>
      <c r="G34" s="42">
        <f>1/(1+Cargo!$E$17)^(4-1)</f>
        <v>0.85161366418382267</v>
      </c>
      <c r="H34" s="42">
        <f>1/(1+Cargo!$E$17)^(5-1)</f>
        <v>0.80721674330220161</v>
      </c>
      <c r="I34" s="42">
        <f>1/(1+Cargo!$E$17)^(6-1)</f>
        <v>0.76513435384094941</v>
      </c>
      <c r="J34" s="42">
        <f>1/(1+Cargo!$E$17)^(7-1)</f>
        <v>0.72524583302459655</v>
      </c>
      <c r="K34" s="42">
        <f>1/(1+Cargo!$E$17)^(8-1)</f>
        <v>0.68743680855412004</v>
      </c>
      <c r="L34" s="42">
        <f>1/(1+Cargo!$E$17)^(9-1)</f>
        <v>0.6515988706674124</v>
      </c>
      <c r="M34" s="42">
        <f>1/(1+Cargo!$E$17)^(10-1)</f>
        <v>0.6176292612961255</v>
      </c>
      <c r="N34" s="42">
        <f>1/(1+Cargo!$E$17)^(11-1)</f>
        <v>0.58543057942760712</v>
      </c>
      <c r="O34" s="42">
        <f>1/(1+Cargo!$E$17)^(12-1)</f>
        <v>0.55491050182711577</v>
      </c>
      <c r="P34" s="42">
        <f>1/(1+Cargo!$E$17)^(13-1)</f>
        <v>0.5259815183195411</v>
      </c>
      <c r="Q34" s="42">
        <f>1/(1+Cargo!$E$17)^(14-1)</f>
        <v>0.49856068087160293</v>
      </c>
      <c r="R34" s="42">
        <f>1/(1+Cargo!$E$17)^(15-1)</f>
        <v>0.47256936575507386</v>
      </c>
      <c r="S34" s="42">
        <f>1/(1+Cargo!$E$17)^(16-1)</f>
        <v>0.44793304810907481</v>
      </c>
      <c r="T34" s="42">
        <f>1/(1+Cargo!$E$17)^(17-1)</f>
        <v>0.4245810882550472</v>
      </c>
      <c r="U34" s="42">
        <f>1/(1+Cargo!$E$17)^(18-1)</f>
        <v>0.40244652915170354</v>
      </c>
      <c r="V34" s="42">
        <f>1/(1+Cargo!$E$17)^(19-1)</f>
        <v>0.38146590440919764</v>
      </c>
      <c r="W34" s="42">
        <f>1/(1+Cargo!$E$17)^(20-1)</f>
        <v>0.36157905631203574</v>
      </c>
      <c r="X34" s="42">
        <f>1/(1+Cargo!$E$17)^(21-1)</f>
        <v>0.34272896332894381</v>
      </c>
      <c r="Y34" s="42">
        <f>1/(1+Cargo!$E$17)^(22-1)</f>
        <v>0.32486157661511261</v>
      </c>
      <c r="Z34" s="42">
        <f>1/(1+Cargo!$E$17)^(23-1)</f>
        <v>0.30792566503802149</v>
      </c>
      <c r="AA34" s="42">
        <f>1/(1+Cargo!$E$17)^(24-1)</f>
        <v>0.29187266828248482</v>
      </c>
      <c r="AB34" s="42">
        <f>1/(1+Cargo!$E$17)^(25-1)</f>
        <v>0.2766565576137297</v>
      </c>
      <c r="AC34" s="42">
        <f>1/(1+Cargo!$E$17)^(26-1)</f>
        <v>0.26223370389926987</v>
      </c>
      <c r="AD34" s="42">
        <f>1/(1+Cargo!$E$17)^(27-1)</f>
        <v>0.24856275251115625</v>
      </c>
      <c r="AE34" s="42">
        <f>1/(1+Cargo!$E$17)^(28-1)</f>
        <v>0.23560450474991115</v>
      </c>
      <c r="AF34" s="42">
        <f>1/(1+Cargo!$E$17)^(29-1)</f>
        <v>0.22332180545015276</v>
      </c>
      <c r="AG34" s="42">
        <f>1/(1+Cargo!$E$17)^(30-1)</f>
        <v>0.21167943644564247</v>
      </c>
      <c r="AH34" s="42">
        <f>1/(1+Cargo!$E$17)^(31-1)</f>
        <v>0.20064401558828671</v>
      </c>
      <c r="AI34" s="42">
        <f>1/(1+Cargo!$E$17)^(32-1)</f>
        <v>0.19018390103155139</v>
      </c>
      <c r="AJ34" s="42">
        <f>1/(1+Cargo!$E$17)^(33-1)</f>
        <v>0.18026910050384018</v>
      </c>
      <c r="AK34" s="42">
        <f>1/(1+Cargo!$E$17)^(34-1)</f>
        <v>0.17087118531169684</v>
      </c>
      <c r="AL34" s="42">
        <f>1/(1+Cargo!$E$17)^(35-1)</f>
        <v>0.16196320882625295</v>
      </c>
      <c r="AM34" s="42">
        <f>1/(1+Cargo!$E$17)^(36-1)</f>
        <v>0.15351962921919712</v>
      </c>
      <c r="AN34" s="42">
        <f>1/(1+Cargo!$E$17)^(37-1)</f>
        <v>0.14551623622672713</v>
      </c>
      <c r="AO34" s="42">
        <f>1/(1+Cargo!$E$17)^(38-1)</f>
        <v>0.1379300817314949</v>
      </c>
      <c r="AP34" s="42">
        <f>1/(1+Cargo!$E$17)^(39-1)</f>
        <v>0.1307394139635023</v>
      </c>
      <c r="AQ34" s="42">
        <f>1/(1+Cargo!$E$17)^(40-1)</f>
        <v>0.12392361513128179</v>
      </c>
    </row>
    <row r="35" spans="2:43" ht="15" customHeight="1" x14ac:dyDescent="0.45">
      <c r="B35" s="34" t="s">
        <v>127</v>
      </c>
      <c r="D35" s="41">
        <f t="shared" ref="D35:AQ35" si="3">+D33*D34</f>
        <v>104.34487741935484</v>
      </c>
      <c r="E35" s="41">
        <f t="shared" si="3"/>
        <v>7.1007858125668859</v>
      </c>
      <c r="F35" s="41">
        <f t="shared" si="3"/>
        <v>6.8648140674462441</v>
      </c>
      <c r="G35" s="41">
        <f t="shared" si="3"/>
        <v>6.6366916559075184</v>
      </c>
      <c r="H35" s="41">
        <f t="shared" si="3"/>
        <v>6.4161570846201519</v>
      </c>
      <c r="I35" s="41">
        <f t="shared" si="3"/>
        <v>6.2029575921550171</v>
      </c>
      <c r="J35" s="41">
        <f t="shared" si="3"/>
        <v>5.9968488563410531</v>
      </c>
      <c r="K35" s="41">
        <f t="shared" si="3"/>
        <v>5.797594711484737</v>
      </c>
      <c r="L35" s="41">
        <f t="shared" si="3"/>
        <v>5.6049668751171371</v>
      </c>
      <c r="M35" s="41">
        <f t="shared" si="3"/>
        <v>5.4187446839448343</v>
      </c>
      <c r="N35" s="41">
        <f t="shared" si="3"/>
        <v>5.2387148386921734</v>
      </c>
      <c r="O35" s="41">
        <f t="shared" si="3"/>
        <v>5.064671157532989</v>
      </c>
      <c r="P35" s="41">
        <f t="shared" si="3"/>
        <v>4.896414337820393</v>
      </c>
      <c r="Q35" s="41">
        <f t="shared" si="3"/>
        <v>4.733751725833101</v>
      </c>
      <c r="R35" s="41">
        <f t="shared" si="3"/>
        <v>4.5764970942666343</v>
      </c>
      <c r="S35" s="41">
        <f t="shared" si="3"/>
        <v>4.4244704272068125</v>
      </c>
      <c r="T35" s="41">
        <f t="shared" si="3"/>
        <v>4.2774977123321314</v>
      </c>
      <c r="U35" s="41">
        <f t="shared" si="3"/>
        <v>4.1354107401002285</v>
      </c>
      <c r="V35" s="41">
        <f t="shared" si="3"/>
        <v>3.9980469096820124</v>
      </c>
      <c r="W35" s="41">
        <f t="shared" si="3"/>
        <v>3.8652490414151557</v>
      </c>
      <c r="X35" s="41">
        <f t="shared" si="3"/>
        <v>0</v>
      </c>
      <c r="Y35" s="41">
        <f t="shared" si="3"/>
        <v>0</v>
      </c>
      <c r="Z35" s="41">
        <f t="shared" si="3"/>
        <v>0</v>
      </c>
      <c r="AA35" s="41">
        <f t="shared" si="3"/>
        <v>0</v>
      </c>
      <c r="AB35" s="41">
        <f t="shared" si="3"/>
        <v>0</v>
      </c>
      <c r="AC35" s="41">
        <f t="shared" si="3"/>
        <v>0</v>
      </c>
      <c r="AD35" s="41">
        <f t="shared" si="3"/>
        <v>0</v>
      </c>
      <c r="AE35" s="41">
        <f t="shared" si="3"/>
        <v>0</v>
      </c>
      <c r="AF35" s="41">
        <f t="shared" si="3"/>
        <v>0</v>
      </c>
      <c r="AG35" s="41">
        <f t="shared" si="3"/>
        <v>0</v>
      </c>
      <c r="AH35" s="41">
        <f t="shared" si="3"/>
        <v>0</v>
      </c>
      <c r="AI35" s="41">
        <f t="shared" si="3"/>
        <v>0</v>
      </c>
      <c r="AJ35" s="41">
        <f t="shared" si="3"/>
        <v>0</v>
      </c>
      <c r="AK35" s="41">
        <f t="shared" si="3"/>
        <v>0</v>
      </c>
      <c r="AL35" s="41">
        <f t="shared" si="3"/>
        <v>0</v>
      </c>
      <c r="AM35" s="41">
        <f t="shared" si="3"/>
        <v>0</v>
      </c>
      <c r="AN35" s="41">
        <f t="shared" si="3"/>
        <v>0</v>
      </c>
      <c r="AO35" s="41">
        <f t="shared" si="3"/>
        <v>0</v>
      </c>
      <c r="AP35" s="41">
        <f t="shared" si="3"/>
        <v>0</v>
      </c>
      <c r="AQ35" s="41">
        <f t="shared" si="3"/>
        <v>0</v>
      </c>
    </row>
    <row r="36" spans="2:43" ht="15" customHeight="1" x14ac:dyDescent="0.45">
      <c r="B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</row>
    <row r="37" spans="2:43" ht="15" customHeight="1" x14ac:dyDescent="0.45">
      <c r="B37" s="2" t="s">
        <v>128</v>
      </c>
      <c r="C37" s="2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</row>
    <row r="38" spans="2:43" ht="15" customHeight="1" x14ac:dyDescent="0.45"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</row>
    <row r="39" spans="2:43" ht="15" customHeight="1" x14ac:dyDescent="0.45">
      <c r="B39" s="38" t="s">
        <v>111</v>
      </c>
      <c r="D39" s="39">
        <f>IF(1&lt;=Cargo!$D$15,IF(1=1,Fuel!$E$29,0),0)</f>
        <v>0</v>
      </c>
      <c r="E39" s="39">
        <f>IF(2&lt;=Cargo!$D$15,IF(2=1,Fuel!$E$29,0),0)</f>
        <v>0</v>
      </c>
      <c r="F39" s="39">
        <f>IF(3&lt;=Cargo!$D$15,IF(3=1,Fuel!$E$29,0),0)</f>
        <v>0</v>
      </c>
      <c r="G39" s="39">
        <f>IF(4&lt;=Cargo!$D$15,IF(4=1,Fuel!$E$29,0),0)</f>
        <v>0</v>
      </c>
      <c r="H39" s="39">
        <f>IF(5&lt;=Cargo!$D$15,IF(5=1,Fuel!$E$29,0),0)</f>
        <v>0</v>
      </c>
      <c r="I39" s="39">
        <f>IF(6&lt;=Cargo!$D$15,IF(6=1,Fuel!$E$29,0),0)</f>
        <v>0</v>
      </c>
      <c r="J39" s="39">
        <f>IF(7&lt;=Cargo!$D$15,IF(7=1,Fuel!$E$29,0),0)</f>
        <v>0</v>
      </c>
      <c r="K39" s="39">
        <f>IF(8&lt;=Cargo!$D$15,IF(8=1,Fuel!$E$29,0),0)</f>
        <v>0</v>
      </c>
      <c r="L39" s="39">
        <f>IF(9&lt;=Cargo!$D$15,IF(9=1,Fuel!$E$29,0),0)</f>
        <v>0</v>
      </c>
      <c r="M39" s="39">
        <f>IF(10&lt;=Cargo!$D$15,IF(10=1,Fuel!$E$29,0),0)</f>
        <v>0</v>
      </c>
      <c r="N39" s="39">
        <f>IF(11&lt;=Cargo!$D$15,IF(11=1,Fuel!$E$29,0),0)</f>
        <v>0</v>
      </c>
      <c r="O39" s="39">
        <f>IF(12&lt;=Cargo!$D$15,IF(12=1,Fuel!$E$29,0),0)</f>
        <v>0</v>
      </c>
      <c r="P39" s="39">
        <f>IF(13&lt;=Cargo!$D$15,IF(13=1,Fuel!$E$29,0),0)</f>
        <v>0</v>
      </c>
      <c r="Q39" s="39">
        <f>IF(14&lt;=Cargo!$D$15,IF(14=1,Fuel!$E$29,0),0)</f>
        <v>0</v>
      </c>
      <c r="R39" s="39">
        <f>IF(15&lt;=Cargo!$D$15,IF(15=1,Fuel!$E$29,0),0)</f>
        <v>0</v>
      </c>
      <c r="S39" s="39">
        <f>IF(16&lt;=Cargo!$D$15,IF(16=1,Fuel!$E$29,0),0)</f>
        <v>0</v>
      </c>
      <c r="T39" s="39">
        <f>IF(17&lt;=Cargo!$D$15,IF(17=1,Fuel!$E$29,0),0)</f>
        <v>0</v>
      </c>
      <c r="U39" s="39">
        <f>IF(18&lt;=Cargo!$D$15,IF(18=1,Fuel!$E$29,0),0)</f>
        <v>0</v>
      </c>
      <c r="V39" s="39">
        <f>IF(19&lt;=Cargo!$D$15,IF(19=1,Fuel!$E$29,0),0)</f>
        <v>0</v>
      </c>
      <c r="W39" s="39">
        <f>IF(20&lt;=Cargo!$D$15,IF(20=1,Fuel!$E$29,0),0)</f>
        <v>0</v>
      </c>
      <c r="X39" s="39">
        <f>IF(21&lt;=Cargo!$D$15,IF(21=1,Fuel!$E$29,0),0)</f>
        <v>0</v>
      </c>
      <c r="Y39" s="39">
        <f>IF(22&lt;=Cargo!$D$15,IF(22=1,Fuel!$E$29,0),0)</f>
        <v>0</v>
      </c>
      <c r="Z39" s="39">
        <f>IF(23&lt;=Cargo!$D$15,IF(23=1,Fuel!$E$29,0),0)</f>
        <v>0</v>
      </c>
      <c r="AA39" s="39">
        <f>IF(24&lt;=Cargo!$D$15,IF(24=1,Fuel!$E$29,0),0)</f>
        <v>0</v>
      </c>
      <c r="AB39" s="39">
        <f>IF(25&lt;=Cargo!$D$15,IF(25=1,Fuel!$E$29,0),0)</f>
        <v>0</v>
      </c>
      <c r="AC39" s="39">
        <f>IF(26&lt;=Cargo!$D$15,IF(26=1,Fuel!$E$29,0),0)</f>
        <v>0</v>
      </c>
      <c r="AD39" s="39">
        <f>IF(27&lt;=Cargo!$D$15,IF(27=1,Fuel!$E$29,0),0)</f>
        <v>0</v>
      </c>
      <c r="AE39" s="39">
        <f>IF(28&lt;=Cargo!$D$15,IF(28=1,Fuel!$E$29,0),0)</f>
        <v>0</v>
      </c>
      <c r="AF39" s="39">
        <f>IF(29&lt;=Cargo!$D$15,IF(29=1,Fuel!$E$29,0),0)</f>
        <v>0</v>
      </c>
      <c r="AG39" s="39">
        <f>IF(30&lt;=Cargo!$D$15,IF(30=1,Fuel!$E$29,0),0)</f>
        <v>0</v>
      </c>
      <c r="AH39" s="39">
        <f>IF(31&lt;=Cargo!$D$15,IF(31=1,Fuel!$E$29,0),0)</f>
        <v>0</v>
      </c>
      <c r="AI39" s="39">
        <f>IF(32&lt;=Cargo!$D$15,IF(32=1,Fuel!$E$29,0),0)</f>
        <v>0</v>
      </c>
      <c r="AJ39" s="39">
        <f>IF(33&lt;=Cargo!$D$15,IF(33=1,Fuel!$E$29,0),0)</f>
        <v>0</v>
      </c>
      <c r="AK39" s="39">
        <f>IF(34&lt;=Cargo!$D$15,IF(34=1,Fuel!$E$29,0),0)</f>
        <v>0</v>
      </c>
      <c r="AL39" s="39">
        <f>IF(35&lt;=Cargo!$D$15,IF(35=1,Fuel!$E$29,0),0)</f>
        <v>0</v>
      </c>
      <c r="AM39" s="39">
        <f>IF(36&lt;=Cargo!$D$15,IF(36=1,Fuel!$E$29,0),0)</f>
        <v>0</v>
      </c>
      <c r="AN39" s="39">
        <f>IF(37&lt;=Cargo!$D$15,IF(37=1,Fuel!$E$29,0),0)</f>
        <v>0</v>
      </c>
      <c r="AO39" s="39">
        <f>IF(38&lt;=Cargo!$D$15,IF(38=1,Fuel!$E$29,0),0)</f>
        <v>0</v>
      </c>
      <c r="AP39" s="39">
        <f>IF(39&lt;=Cargo!$D$15,IF(39=1,Fuel!$E$29,0),0)</f>
        <v>0</v>
      </c>
      <c r="AQ39" s="39">
        <f>IF(40&lt;=Cargo!$D$15,IF(40=1,Fuel!$E$29,0),0)</f>
        <v>0</v>
      </c>
    </row>
    <row r="40" spans="2:43" ht="15" customHeight="1" x14ac:dyDescent="0.45">
      <c r="B40" s="38" t="s">
        <v>112</v>
      </c>
      <c r="D40" s="39">
        <f>IF(1&lt;=Cargo!$D$15,Vessel!$D$7*Fuel!$E$28*Fuel!$E$24/1000000*(1+Cargo!$D$18)^(1-1)+Fuel!$E$30*(1+Cargo!$D$18)^(1-1),0)</f>
        <v>0.70925373134328362</v>
      </c>
      <c r="E40" s="39">
        <f>IF(2&lt;=Cargo!$D$15,Vessel!$D$7*Fuel!$E$28*Fuel!$E$24/1000000*(1+Cargo!$D$18)^(2-1)+Fuel!$E$30*(1+Cargo!$D$18)^(2-1),0)</f>
        <v>0.72343880597014931</v>
      </c>
      <c r="F40" s="39">
        <f>IF(3&lt;=Cargo!$D$15,Vessel!$D$7*Fuel!$E$28*Fuel!$E$24/1000000*(1+Cargo!$D$18)^(3-1)+Fuel!$E$30*(1+Cargo!$D$18)^(3-1),0)</f>
        <v>0.73790758208955232</v>
      </c>
      <c r="G40" s="39">
        <f>IF(4&lt;=Cargo!$D$15,Vessel!$D$7*Fuel!$E$28*Fuel!$E$24/1000000*(1+Cargo!$D$18)^(4-1)+Fuel!$E$30*(1+Cargo!$D$18)^(4-1),0)</f>
        <v>0.75266573373134327</v>
      </c>
      <c r="H40" s="39">
        <f>IF(5&lt;=Cargo!$D$15,Vessel!$D$7*Fuel!$E$28*Fuel!$E$24/1000000*(1+Cargo!$D$18)^(5-1)+Fuel!$E$30*(1+Cargo!$D$18)^(5-1),0)</f>
        <v>0.76771904840597016</v>
      </c>
      <c r="I40" s="39">
        <f>IF(6&lt;=Cargo!$D$15,Vessel!$D$7*Fuel!$E$28*Fuel!$E$24/1000000*(1+Cargo!$D$18)^(6-1)+Fuel!$E$30*(1+Cargo!$D$18)^(6-1),0)</f>
        <v>0.78307342937408964</v>
      </c>
      <c r="J40" s="39">
        <f>IF(7&lt;=Cargo!$D$15,Vessel!$D$7*Fuel!$E$28*Fuel!$E$24/1000000*(1+Cargo!$D$18)^(7-1)+Fuel!$E$30*(1+Cargo!$D$18)^(7-1),0)</f>
        <v>0.79873489796157149</v>
      </c>
      <c r="K40" s="39">
        <f>IF(8&lt;=Cargo!$D$15,Vessel!$D$7*Fuel!$E$28*Fuel!$E$24/1000000*(1+Cargo!$D$18)^(8-1)+Fuel!$E$30*(1+Cargo!$D$18)^(8-1),0)</f>
        <v>0.81470959592080272</v>
      </c>
      <c r="L40" s="39">
        <f>IF(9&lt;=Cargo!$D$15,Vessel!$D$7*Fuel!$E$28*Fuel!$E$24/1000000*(1+Cargo!$D$18)^(9-1)+Fuel!$E$30*(1+Cargo!$D$18)^(9-1),0)</f>
        <v>0.8310037878392188</v>
      </c>
      <c r="M40" s="39">
        <f>IF(10&lt;=Cargo!$D$15,Vessel!$D$7*Fuel!$E$28*Fuel!$E$24/1000000*(1+Cargo!$D$18)^(10-1)+Fuel!$E$30*(1+Cargo!$D$18)^(10-1),0)</f>
        <v>0.84762386359600317</v>
      </c>
      <c r="N40" s="39">
        <f>IF(11&lt;=Cargo!$D$15,Vessel!$D$7*Fuel!$E$28*Fuel!$E$24/1000000*(1+Cargo!$D$18)^(11-1)+Fuel!$E$30*(1+Cargo!$D$18)^(11-1),0)</f>
        <v>0.86457634086792334</v>
      </c>
      <c r="O40" s="39">
        <f>IF(12&lt;=Cargo!$D$15,Vessel!$D$7*Fuel!$E$28*Fuel!$E$24/1000000*(1+Cargo!$D$18)^(12-1)+Fuel!$E$30*(1+Cargo!$D$18)^(12-1),0)</f>
        <v>0.88186786768528158</v>
      </c>
      <c r="P40" s="39">
        <f>IF(13&lt;=Cargo!$D$15,Vessel!$D$7*Fuel!$E$28*Fuel!$E$24/1000000*(1+Cargo!$D$18)^(13-1)+Fuel!$E$30*(1+Cargo!$D$18)^(13-1),0)</f>
        <v>0.89950522503898733</v>
      </c>
      <c r="Q40" s="39">
        <f>IF(14&lt;=Cargo!$D$15,Vessel!$D$7*Fuel!$E$28*Fuel!$E$24/1000000*(1+Cargo!$D$18)^(14-1)+Fuel!$E$30*(1+Cargo!$D$18)^(14-1),0)</f>
        <v>0.91749532953976709</v>
      </c>
      <c r="R40" s="39">
        <f>IF(15&lt;=Cargo!$D$15,Vessel!$D$7*Fuel!$E$28*Fuel!$E$24/1000000*(1+Cargo!$D$18)^(15-1)+Fuel!$E$30*(1+Cargo!$D$18)^(15-1),0)</f>
        <v>0.93584523613056247</v>
      </c>
      <c r="S40" s="39">
        <f>IF(16&lt;=Cargo!$D$15,Vessel!$D$7*Fuel!$E$28*Fuel!$E$24/1000000*(1+Cargo!$D$18)^(16-1)+Fuel!$E$30*(1+Cargo!$D$18)^(16-1),0)</f>
        <v>0.95456214085317348</v>
      </c>
      <c r="T40" s="39">
        <f>IF(17&lt;=Cargo!$D$15,Vessel!$D$7*Fuel!$E$28*Fuel!$E$24/1000000*(1+Cargo!$D$18)^(17-1)+Fuel!$E$30*(1+Cargo!$D$18)^(17-1),0)</f>
        <v>0.97365338367023713</v>
      </c>
      <c r="U40" s="39">
        <f>IF(18&lt;=Cargo!$D$15,Vessel!$D$7*Fuel!$E$28*Fuel!$E$24/1000000*(1+Cargo!$D$18)^(18-1)+Fuel!$E$30*(1+Cargo!$D$18)^(18-1),0)</f>
        <v>0.99312645134364197</v>
      </c>
      <c r="V40" s="39">
        <f>IF(19&lt;=Cargo!$D$15,Vessel!$D$7*Fuel!$E$28*Fuel!$E$24/1000000*(1+Cargo!$D$18)^(19-1)+Fuel!$E$30*(1+Cargo!$D$18)^(19-1),0)</f>
        <v>1.0129889803705148</v>
      </c>
      <c r="W40" s="39">
        <f>IF(20&lt;=Cargo!$D$15,Vessel!$D$7*Fuel!$E$28*Fuel!$E$24/1000000*(1+Cargo!$D$18)^(20-1)+Fuel!$E$30*(1+Cargo!$D$18)^(20-1),0)</f>
        <v>1.033248759977925</v>
      </c>
      <c r="X40" s="39">
        <f>IF(21&lt;=Cargo!$D$15,Vessel!$D$7*Fuel!$E$28*Fuel!$E$24/1000000*(1+Cargo!$D$18)^(21-1)+Fuel!$E$30*(1+Cargo!$D$18)^(21-1),0)</f>
        <v>0</v>
      </c>
      <c r="Y40" s="39">
        <f>IF(22&lt;=Cargo!$D$15,Vessel!$D$7*Fuel!$E$28*Fuel!$E$24/1000000*(1+Cargo!$D$18)^(22-1)+Fuel!$E$30*(1+Cargo!$D$18)^(22-1),0)</f>
        <v>0</v>
      </c>
      <c r="Z40" s="39">
        <f>IF(23&lt;=Cargo!$D$15,Vessel!$D$7*Fuel!$E$28*Fuel!$E$24/1000000*(1+Cargo!$D$18)^(23-1)+Fuel!$E$30*(1+Cargo!$D$18)^(23-1),0)</f>
        <v>0</v>
      </c>
      <c r="AA40" s="39">
        <f>IF(24&lt;=Cargo!$D$15,Vessel!$D$7*Fuel!$E$28*Fuel!$E$24/1000000*(1+Cargo!$D$18)^(24-1)+Fuel!$E$30*(1+Cargo!$D$18)^(24-1),0)</f>
        <v>0</v>
      </c>
      <c r="AB40" s="39">
        <f>IF(25&lt;=Cargo!$D$15,Vessel!$D$7*Fuel!$E$28*Fuel!$E$24/1000000*(1+Cargo!$D$18)^(25-1)+Fuel!$E$30*(1+Cargo!$D$18)^(25-1),0)</f>
        <v>0</v>
      </c>
      <c r="AC40" s="39">
        <f>IF(26&lt;=Cargo!$D$15,Vessel!$D$7*Fuel!$E$28*Fuel!$E$24/1000000*(1+Cargo!$D$18)^(26-1)+Fuel!$E$30*(1+Cargo!$D$18)^(26-1),0)</f>
        <v>0</v>
      </c>
      <c r="AD40" s="39">
        <f>IF(27&lt;=Cargo!$D$15,Vessel!$D$7*Fuel!$E$28*Fuel!$E$24/1000000*(1+Cargo!$D$18)^(27-1)+Fuel!$E$30*(1+Cargo!$D$18)^(27-1),0)</f>
        <v>0</v>
      </c>
      <c r="AE40" s="39">
        <f>IF(28&lt;=Cargo!$D$15,Vessel!$D$7*Fuel!$E$28*Fuel!$E$24/1000000*(1+Cargo!$D$18)^(28-1)+Fuel!$E$30*(1+Cargo!$D$18)^(28-1),0)</f>
        <v>0</v>
      </c>
      <c r="AF40" s="39">
        <f>IF(29&lt;=Cargo!$D$15,Vessel!$D$7*Fuel!$E$28*Fuel!$E$24/1000000*(1+Cargo!$D$18)^(29-1)+Fuel!$E$30*(1+Cargo!$D$18)^(29-1),0)</f>
        <v>0</v>
      </c>
      <c r="AG40" s="39">
        <f>IF(30&lt;=Cargo!$D$15,Vessel!$D$7*Fuel!$E$28*Fuel!$E$24/1000000*(1+Cargo!$D$18)^(30-1)+Fuel!$E$30*(1+Cargo!$D$18)^(30-1),0)</f>
        <v>0</v>
      </c>
      <c r="AH40" s="39">
        <f>IF(31&lt;=Cargo!$D$15,Vessel!$D$7*Fuel!$E$28*Fuel!$E$24/1000000*(1+Cargo!$D$18)^(31-1)+Fuel!$E$30*(1+Cargo!$D$18)^(31-1),0)</f>
        <v>0</v>
      </c>
      <c r="AI40" s="39">
        <f>IF(32&lt;=Cargo!$D$15,Vessel!$D$7*Fuel!$E$28*Fuel!$E$24/1000000*(1+Cargo!$D$18)^(32-1)+Fuel!$E$30*(1+Cargo!$D$18)^(32-1),0)</f>
        <v>0</v>
      </c>
      <c r="AJ40" s="39">
        <f>IF(33&lt;=Cargo!$D$15,Vessel!$D$7*Fuel!$E$28*Fuel!$E$24/1000000*(1+Cargo!$D$18)^(33-1)+Fuel!$E$30*(1+Cargo!$D$18)^(33-1),0)</f>
        <v>0</v>
      </c>
      <c r="AK40" s="39">
        <f>IF(34&lt;=Cargo!$D$15,Vessel!$D$7*Fuel!$E$28*Fuel!$E$24/1000000*(1+Cargo!$D$18)^(34-1)+Fuel!$E$30*(1+Cargo!$D$18)^(34-1),0)</f>
        <v>0</v>
      </c>
      <c r="AL40" s="39">
        <f>IF(35&lt;=Cargo!$D$15,Vessel!$D$7*Fuel!$E$28*Fuel!$E$24/1000000*(1+Cargo!$D$18)^(35-1)+Fuel!$E$30*(1+Cargo!$D$18)^(35-1),0)</f>
        <v>0</v>
      </c>
      <c r="AM40" s="39">
        <f>IF(36&lt;=Cargo!$D$15,Vessel!$D$7*Fuel!$E$28*Fuel!$E$24/1000000*(1+Cargo!$D$18)^(36-1)+Fuel!$E$30*(1+Cargo!$D$18)^(36-1),0)</f>
        <v>0</v>
      </c>
      <c r="AN40" s="39">
        <f>IF(37&lt;=Cargo!$D$15,Vessel!$D$7*Fuel!$E$28*Fuel!$E$24/1000000*(1+Cargo!$D$18)^(37-1)+Fuel!$E$30*(1+Cargo!$D$18)^(37-1),0)</f>
        <v>0</v>
      </c>
      <c r="AO40" s="39">
        <f>IF(38&lt;=Cargo!$D$15,Vessel!$D$7*Fuel!$E$28*Fuel!$E$24/1000000*(1+Cargo!$D$18)^(38-1)+Fuel!$E$30*(1+Cargo!$D$18)^(38-1),0)</f>
        <v>0</v>
      </c>
      <c r="AP40" s="39">
        <f>IF(39&lt;=Cargo!$D$15,Vessel!$D$7*Fuel!$E$28*Fuel!$E$24/1000000*(1+Cargo!$D$18)^(39-1)+Fuel!$E$30*(1+Cargo!$D$18)^(39-1),0)</f>
        <v>0</v>
      </c>
      <c r="AQ40" s="39">
        <f>IF(40&lt;=Cargo!$D$15,Vessel!$D$7*Fuel!$E$28*Fuel!$E$24/1000000*(1+Cargo!$D$18)^(40-1)+Fuel!$E$30*(1+Cargo!$D$18)^(40-1),0)</f>
        <v>0</v>
      </c>
    </row>
    <row r="41" spans="2:43" ht="15" customHeight="1" x14ac:dyDescent="0.45">
      <c r="B41" s="38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</row>
    <row r="42" spans="2:43" ht="15" customHeight="1" x14ac:dyDescent="0.45">
      <c r="B42" s="38" t="s">
        <v>113</v>
      </c>
      <c r="D42" s="39">
        <f>IF(1&lt;=Cargo!$D$15,IF(1=1,Port!$E$17,0),0)</f>
        <v>0</v>
      </c>
      <c r="E42" s="39">
        <f>IF(2&lt;=Cargo!$D$15,IF(2=1,Port!$E$17,0),0)</f>
        <v>0</v>
      </c>
      <c r="F42" s="39">
        <f>IF(3&lt;=Cargo!$D$15,IF(3=1,Port!$E$17,0),0)</f>
        <v>0</v>
      </c>
      <c r="G42" s="39">
        <f>IF(4&lt;=Cargo!$D$15,IF(4=1,Port!$E$17,0),0)</f>
        <v>0</v>
      </c>
      <c r="H42" s="39">
        <f>IF(5&lt;=Cargo!$D$15,IF(5=1,Port!$E$17,0),0)</f>
        <v>0</v>
      </c>
      <c r="I42" s="39">
        <f>IF(6&lt;=Cargo!$D$15,IF(6=1,Port!$E$17,0),0)</f>
        <v>0</v>
      </c>
      <c r="J42" s="39">
        <f>IF(7&lt;=Cargo!$D$15,IF(7=1,Port!$E$17,0),0)</f>
        <v>0</v>
      </c>
      <c r="K42" s="39">
        <f>IF(8&lt;=Cargo!$D$15,IF(8=1,Port!$E$17,0),0)</f>
        <v>0</v>
      </c>
      <c r="L42" s="39">
        <f>IF(9&lt;=Cargo!$D$15,IF(9=1,Port!$E$17,0),0)</f>
        <v>0</v>
      </c>
      <c r="M42" s="39">
        <f>IF(10&lt;=Cargo!$D$15,IF(10=1,Port!$E$17,0),0)</f>
        <v>0</v>
      </c>
      <c r="N42" s="39">
        <f>IF(11&lt;=Cargo!$D$15,IF(11=1,Port!$E$17,0),0)</f>
        <v>0</v>
      </c>
      <c r="O42" s="39">
        <f>IF(12&lt;=Cargo!$D$15,IF(12=1,Port!$E$17,0),0)</f>
        <v>0</v>
      </c>
      <c r="P42" s="39">
        <f>IF(13&lt;=Cargo!$D$15,IF(13=1,Port!$E$17,0),0)</f>
        <v>0</v>
      </c>
      <c r="Q42" s="39">
        <f>IF(14&lt;=Cargo!$D$15,IF(14=1,Port!$E$17,0),0)</f>
        <v>0</v>
      </c>
      <c r="R42" s="39">
        <f>IF(15&lt;=Cargo!$D$15,IF(15=1,Port!$E$17,0),0)</f>
        <v>0</v>
      </c>
      <c r="S42" s="39">
        <f>IF(16&lt;=Cargo!$D$15,IF(16=1,Port!$E$17,0),0)</f>
        <v>0</v>
      </c>
      <c r="T42" s="39">
        <f>IF(17&lt;=Cargo!$D$15,IF(17=1,Port!$E$17,0),0)</f>
        <v>0</v>
      </c>
      <c r="U42" s="39">
        <f>IF(18&lt;=Cargo!$D$15,IF(18=1,Port!$E$17,0),0)</f>
        <v>0</v>
      </c>
      <c r="V42" s="39">
        <f>IF(19&lt;=Cargo!$D$15,IF(19=1,Port!$E$17,0),0)</f>
        <v>0</v>
      </c>
      <c r="W42" s="39">
        <f>IF(20&lt;=Cargo!$D$15,IF(20=1,Port!$E$17,0),0)</f>
        <v>0</v>
      </c>
      <c r="X42" s="39">
        <f>IF(21&lt;=Cargo!$D$15,IF(21=1,Port!$E$17,0),0)</f>
        <v>0</v>
      </c>
      <c r="Y42" s="39">
        <f>IF(22&lt;=Cargo!$D$15,IF(22=1,Port!$E$17,0),0)</f>
        <v>0</v>
      </c>
      <c r="Z42" s="39">
        <f>IF(23&lt;=Cargo!$D$15,IF(23=1,Port!$E$17,0),0)</f>
        <v>0</v>
      </c>
      <c r="AA42" s="39">
        <f>IF(24&lt;=Cargo!$D$15,IF(24=1,Port!$E$17,0),0)</f>
        <v>0</v>
      </c>
      <c r="AB42" s="39">
        <f>IF(25&lt;=Cargo!$D$15,IF(25=1,Port!$E$17,0),0)</f>
        <v>0</v>
      </c>
      <c r="AC42" s="39">
        <f>IF(26&lt;=Cargo!$D$15,IF(26=1,Port!$E$17,0),0)</f>
        <v>0</v>
      </c>
      <c r="AD42" s="39">
        <f>IF(27&lt;=Cargo!$D$15,IF(27=1,Port!$E$17,0),0)</f>
        <v>0</v>
      </c>
      <c r="AE42" s="39">
        <f>IF(28&lt;=Cargo!$D$15,IF(28=1,Port!$E$17,0),0)</f>
        <v>0</v>
      </c>
      <c r="AF42" s="39">
        <f>IF(29&lt;=Cargo!$D$15,IF(29=1,Port!$E$17,0),0)</f>
        <v>0</v>
      </c>
      <c r="AG42" s="39">
        <f>IF(30&lt;=Cargo!$D$15,IF(30=1,Port!$E$17,0),0)</f>
        <v>0</v>
      </c>
      <c r="AH42" s="39">
        <f>IF(31&lt;=Cargo!$D$15,IF(31=1,Port!$E$17,0),0)</f>
        <v>0</v>
      </c>
      <c r="AI42" s="39">
        <f>IF(32&lt;=Cargo!$D$15,IF(32=1,Port!$E$17,0),0)</f>
        <v>0</v>
      </c>
      <c r="AJ42" s="39">
        <f>IF(33&lt;=Cargo!$D$15,IF(33=1,Port!$E$17,0),0)</f>
        <v>0</v>
      </c>
      <c r="AK42" s="39">
        <f>IF(34&lt;=Cargo!$D$15,IF(34=1,Port!$E$17,0),0)</f>
        <v>0</v>
      </c>
      <c r="AL42" s="39">
        <f>IF(35&lt;=Cargo!$D$15,IF(35=1,Port!$E$17,0),0)</f>
        <v>0</v>
      </c>
      <c r="AM42" s="39">
        <f>IF(36&lt;=Cargo!$D$15,IF(36=1,Port!$E$17,0),0)</f>
        <v>0</v>
      </c>
      <c r="AN42" s="39">
        <f>IF(37&lt;=Cargo!$D$15,IF(37=1,Port!$E$17,0),0)</f>
        <v>0</v>
      </c>
      <c r="AO42" s="39">
        <f>IF(38&lt;=Cargo!$D$15,IF(38=1,Port!$E$17,0),0)</f>
        <v>0</v>
      </c>
      <c r="AP42" s="39">
        <f>IF(39&lt;=Cargo!$D$15,IF(39=1,Port!$E$17,0),0)</f>
        <v>0</v>
      </c>
      <c r="AQ42" s="39">
        <f>IF(40&lt;=Cargo!$D$15,IF(40=1,Port!$E$17,0),0)</f>
        <v>0</v>
      </c>
    </row>
    <row r="43" spans="2:43" ht="15" customHeight="1" x14ac:dyDescent="0.45">
      <c r="B43" s="38" t="s">
        <v>114</v>
      </c>
      <c r="D43" s="39">
        <f>IF(1&lt;=Cargo!$D$15,Port!$E$18*(1+Cargo!$D$18)^(1-1),0)</f>
        <v>0</v>
      </c>
      <c r="E43" s="39">
        <f>IF(2&lt;=Cargo!$D$15,Port!$E$18*(1+Cargo!$D$18)^(2-1),0)</f>
        <v>0</v>
      </c>
      <c r="F43" s="39">
        <f>IF(3&lt;=Cargo!$D$15,Port!$E$18*(1+Cargo!$D$18)^(3-1),0)</f>
        <v>0</v>
      </c>
      <c r="G43" s="39">
        <f>IF(4&lt;=Cargo!$D$15,Port!$E$18*(1+Cargo!$D$18)^(4-1),0)</f>
        <v>0</v>
      </c>
      <c r="H43" s="39">
        <f>IF(5&lt;=Cargo!$D$15,Port!$E$18*(1+Cargo!$D$18)^(5-1),0)</f>
        <v>0</v>
      </c>
      <c r="I43" s="39">
        <f>IF(6&lt;=Cargo!$D$15,Port!$E$18*(1+Cargo!$D$18)^(6-1),0)</f>
        <v>0</v>
      </c>
      <c r="J43" s="39">
        <f>IF(7&lt;=Cargo!$D$15,Port!$E$18*(1+Cargo!$D$18)^(7-1),0)</f>
        <v>0</v>
      </c>
      <c r="K43" s="39">
        <f>IF(8&lt;=Cargo!$D$15,Port!$E$18*(1+Cargo!$D$18)^(8-1),0)</f>
        <v>0</v>
      </c>
      <c r="L43" s="39">
        <f>IF(9&lt;=Cargo!$D$15,Port!$E$18*(1+Cargo!$D$18)^(9-1),0)</f>
        <v>0</v>
      </c>
      <c r="M43" s="39">
        <f>IF(10&lt;=Cargo!$D$15,Port!$E$18*(1+Cargo!$D$18)^(10-1),0)</f>
        <v>0</v>
      </c>
      <c r="N43" s="39">
        <f>IF(11&lt;=Cargo!$D$15,Port!$E$18*(1+Cargo!$D$18)^(11-1),0)</f>
        <v>0</v>
      </c>
      <c r="O43" s="39">
        <f>IF(12&lt;=Cargo!$D$15,Port!$E$18*(1+Cargo!$D$18)^(12-1),0)</f>
        <v>0</v>
      </c>
      <c r="P43" s="39">
        <f>IF(13&lt;=Cargo!$D$15,Port!$E$18*(1+Cargo!$D$18)^(13-1),0)</f>
        <v>0</v>
      </c>
      <c r="Q43" s="39">
        <f>IF(14&lt;=Cargo!$D$15,Port!$E$18*(1+Cargo!$D$18)^(14-1),0)</f>
        <v>0</v>
      </c>
      <c r="R43" s="39">
        <f>IF(15&lt;=Cargo!$D$15,Port!$E$18*(1+Cargo!$D$18)^(15-1),0)</f>
        <v>0</v>
      </c>
      <c r="S43" s="39">
        <f>IF(16&lt;=Cargo!$D$15,Port!$E$18*(1+Cargo!$D$18)^(16-1),0)</f>
        <v>0</v>
      </c>
      <c r="T43" s="39">
        <f>IF(17&lt;=Cargo!$D$15,Port!$E$18*(1+Cargo!$D$18)^(17-1),0)</f>
        <v>0</v>
      </c>
      <c r="U43" s="39">
        <f>IF(18&lt;=Cargo!$D$15,Port!$E$18*(1+Cargo!$D$18)^(18-1),0)</f>
        <v>0</v>
      </c>
      <c r="V43" s="39">
        <f>IF(19&lt;=Cargo!$D$15,Port!$E$18*(1+Cargo!$D$18)^(19-1),0)</f>
        <v>0</v>
      </c>
      <c r="W43" s="39">
        <f>IF(20&lt;=Cargo!$D$15,Port!$E$18*(1+Cargo!$D$18)^(20-1),0)</f>
        <v>0</v>
      </c>
      <c r="X43" s="39">
        <f>IF(21&lt;=Cargo!$D$15,Port!$E$18*(1+Cargo!$D$18)^(21-1),0)</f>
        <v>0</v>
      </c>
      <c r="Y43" s="39">
        <f>IF(22&lt;=Cargo!$D$15,Port!$E$18*(1+Cargo!$D$18)^(22-1),0)</f>
        <v>0</v>
      </c>
      <c r="Z43" s="39">
        <f>IF(23&lt;=Cargo!$D$15,Port!$E$18*(1+Cargo!$D$18)^(23-1),0)</f>
        <v>0</v>
      </c>
      <c r="AA43" s="39">
        <f>IF(24&lt;=Cargo!$D$15,Port!$E$18*(1+Cargo!$D$18)^(24-1),0)</f>
        <v>0</v>
      </c>
      <c r="AB43" s="39">
        <f>IF(25&lt;=Cargo!$D$15,Port!$E$18*(1+Cargo!$D$18)^(25-1),0)</f>
        <v>0</v>
      </c>
      <c r="AC43" s="39">
        <f>IF(26&lt;=Cargo!$D$15,Port!$E$18*(1+Cargo!$D$18)^(26-1),0)</f>
        <v>0</v>
      </c>
      <c r="AD43" s="39">
        <f>IF(27&lt;=Cargo!$D$15,Port!$E$18*(1+Cargo!$D$18)^(27-1),0)</f>
        <v>0</v>
      </c>
      <c r="AE43" s="39">
        <f>IF(28&lt;=Cargo!$D$15,Port!$E$18*(1+Cargo!$D$18)^(28-1),0)</f>
        <v>0</v>
      </c>
      <c r="AF43" s="39">
        <f>IF(29&lt;=Cargo!$D$15,Port!$E$18*(1+Cargo!$D$18)^(29-1),0)</f>
        <v>0</v>
      </c>
      <c r="AG43" s="39">
        <f>IF(30&lt;=Cargo!$D$15,Port!$E$18*(1+Cargo!$D$18)^(30-1),0)</f>
        <v>0</v>
      </c>
      <c r="AH43" s="39">
        <f>IF(31&lt;=Cargo!$D$15,Port!$E$18*(1+Cargo!$D$18)^(31-1),0)</f>
        <v>0</v>
      </c>
      <c r="AI43" s="39">
        <f>IF(32&lt;=Cargo!$D$15,Port!$E$18*(1+Cargo!$D$18)^(32-1),0)</f>
        <v>0</v>
      </c>
      <c r="AJ43" s="39">
        <f>IF(33&lt;=Cargo!$D$15,Port!$E$18*(1+Cargo!$D$18)^(33-1),0)</f>
        <v>0</v>
      </c>
      <c r="AK43" s="39">
        <f>IF(34&lt;=Cargo!$D$15,Port!$E$18*(1+Cargo!$D$18)^(34-1),0)</f>
        <v>0</v>
      </c>
      <c r="AL43" s="39">
        <f>IF(35&lt;=Cargo!$D$15,Port!$E$18*(1+Cargo!$D$18)^(35-1),0)</f>
        <v>0</v>
      </c>
      <c r="AM43" s="39">
        <f>IF(36&lt;=Cargo!$D$15,Port!$E$18*(1+Cargo!$D$18)^(36-1),0)</f>
        <v>0</v>
      </c>
      <c r="AN43" s="39">
        <f>IF(37&lt;=Cargo!$D$15,Port!$E$18*(1+Cargo!$D$18)^(37-1),0)</f>
        <v>0</v>
      </c>
      <c r="AO43" s="39">
        <f>IF(38&lt;=Cargo!$D$15,Port!$E$18*(1+Cargo!$D$18)^(38-1),0)</f>
        <v>0</v>
      </c>
      <c r="AP43" s="39">
        <f>IF(39&lt;=Cargo!$D$15,Port!$E$18*(1+Cargo!$D$18)^(39-1),0)</f>
        <v>0</v>
      </c>
      <c r="AQ43" s="39">
        <f>IF(40&lt;=Cargo!$D$15,Port!$E$18*(1+Cargo!$D$18)^(40-1),0)</f>
        <v>0</v>
      </c>
    </row>
    <row r="44" spans="2:43" ht="15" customHeight="1" x14ac:dyDescent="0.45">
      <c r="B44" s="38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2:43" ht="15" customHeight="1" x14ac:dyDescent="0.45">
      <c r="B45" s="38" t="s">
        <v>115</v>
      </c>
      <c r="D45" s="39">
        <f>IF(1&lt;=Cargo!$D$15,IF(1=1,Port!$E$20,0),0)</f>
        <v>0</v>
      </c>
      <c r="E45" s="39">
        <f>IF(2&lt;=Cargo!$D$15,IF(2=1,Port!$E$20,0),0)</f>
        <v>0</v>
      </c>
      <c r="F45" s="39">
        <f>IF(3&lt;=Cargo!$D$15,IF(3=1,Port!$E$20,0),0)</f>
        <v>0</v>
      </c>
      <c r="G45" s="39">
        <f>IF(4&lt;=Cargo!$D$15,IF(4=1,Port!$E$20,0),0)</f>
        <v>0</v>
      </c>
      <c r="H45" s="39">
        <f>IF(5&lt;=Cargo!$D$15,IF(5=1,Port!$E$20,0),0)</f>
        <v>0</v>
      </c>
      <c r="I45" s="39">
        <f>IF(6&lt;=Cargo!$D$15,IF(6=1,Port!$E$20,0),0)</f>
        <v>0</v>
      </c>
      <c r="J45" s="39">
        <f>IF(7&lt;=Cargo!$D$15,IF(7=1,Port!$E$20,0),0)</f>
        <v>0</v>
      </c>
      <c r="K45" s="39">
        <f>IF(8&lt;=Cargo!$D$15,IF(8=1,Port!$E$20,0),0)</f>
        <v>0</v>
      </c>
      <c r="L45" s="39">
        <f>IF(9&lt;=Cargo!$D$15,IF(9=1,Port!$E$20,0),0)</f>
        <v>0</v>
      </c>
      <c r="M45" s="39">
        <f>IF(10&lt;=Cargo!$D$15,IF(10=1,Port!$E$20,0),0)</f>
        <v>0</v>
      </c>
      <c r="N45" s="39">
        <f>IF(11&lt;=Cargo!$D$15,IF(11=1,Port!$E$20,0),0)</f>
        <v>0</v>
      </c>
      <c r="O45" s="39">
        <f>IF(12&lt;=Cargo!$D$15,IF(12=1,Port!$E$20,0),0)</f>
        <v>0</v>
      </c>
      <c r="P45" s="39">
        <f>IF(13&lt;=Cargo!$D$15,IF(13=1,Port!$E$20,0),0)</f>
        <v>0</v>
      </c>
      <c r="Q45" s="39">
        <f>IF(14&lt;=Cargo!$D$15,IF(14=1,Port!$E$20,0),0)</f>
        <v>0</v>
      </c>
      <c r="R45" s="39">
        <f>IF(15&lt;=Cargo!$D$15,IF(15=1,Port!$E$20,0),0)</f>
        <v>0</v>
      </c>
      <c r="S45" s="39">
        <f>IF(16&lt;=Cargo!$D$15,IF(16=1,Port!$E$20,0),0)</f>
        <v>0</v>
      </c>
      <c r="T45" s="39">
        <f>IF(17&lt;=Cargo!$D$15,IF(17=1,Port!$E$20,0),0)</f>
        <v>0</v>
      </c>
      <c r="U45" s="39">
        <f>IF(18&lt;=Cargo!$D$15,IF(18=1,Port!$E$20,0),0)</f>
        <v>0</v>
      </c>
      <c r="V45" s="39">
        <f>IF(19&lt;=Cargo!$D$15,IF(19=1,Port!$E$20,0),0)</f>
        <v>0</v>
      </c>
      <c r="W45" s="39">
        <f>IF(20&lt;=Cargo!$D$15,IF(20=1,Port!$E$20,0),0)</f>
        <v>0</v>
      </c>
      <c r="X45" s="39">
        <f>IF(21&lt;=Cargo!$D$15,IF(21=1,Port!$E$20,0),0)</f>
        <v>0</v>
      </c>
      <c r="Y45" s="39">
        <f>IF(22&lt;=Cargo!$D$15,IF(22=1,Port!$E$20,0),0)</f>
        <v>0</v>
      </c>
      <c r="Z45" s="39">
        <f>IF(23&lt;=Cargo!$D$15,IF(23=1,Port!$E$20,0),0)</f>
        <v>0</v>
      </c>
      <c r="AA45" s="39">
        <f>IF(24&lt;=Cargo!$D$15,IF(24=1,Port!$E$20,0),0)</f>
        <v>0</v>
      </c>
      <c r="AB45" s="39">
        <f>IF(25&lt;=Cargo!$D$15,IF(25=1,Port!$E$20,0),0)</f>
        <v>0</v>
      </c>
      <c r="AC45" s="39">
        <f>IF(26&lt;=Cargo!$D$15,IF(26=1,Port!$E$20,0),0)</f>
        <v>0</v>
      </c>
      <c r="AD45" s="39">
        <f>IF(27&lt;=Cargo!$D$15,IF(27=1,Port!$E$20,0),0)</f>
        <v>0</v>
      </c>
      <c r="AE45" s="39">
        <f>IF(28&lt;=Cargo!$D$15,IF(28=1,Port!$E$20,0),0)</f>
        <v>0</v>
      </c>
      <c r="AF45" s="39">
        <f>IF(29&lt;=Cargo!$D$15,IF(29=1,Port!$E$20,0),0)</f>
        <v>0</v>
      </c>
      <c r="AG45" s="39">
        <f>IF(30&lt;=Cargo!$D$15,IF(30=1,Port!$E$20,0),0)</f>
        <v>0</v>
      </c>
      <c r="AH45" s="39">
        <f>IF(31&lt;=Cargo!$D$15,IF(31=1,Port!$E$20,0),0)</f>
        <v>0</v>
      </c>
      <c r="AI45" s="39">
        <f>IF(32&lt;=Cargo!$D$15,IF(32=1,Port!$E$20,0),0)</f>
        <v>0</v>
      </c>
      <c r="AJ45" s="39">
        <f>IF(33&lt;=Cargo!$D$15,IF(33=1,Port!$E$20,0),0)</f>
        <v>0</v>
      </c>
      <c r="AK45" s="39">
        <f>IF(34&lt;=Cargo!$D$15,IF(34=1,Port!$E$20,0),0)</f>
        <v>0</v>
      </c>
      <c r="AL45" s="39">
        <f>IF(35&lt;=Cargo!$D$15,IF(35=1,Port!$E$20,0),0)</f>
        <v>0</v>
      </c>
      <c r="AM45" s="39">
        <f>IF(36&lt;=Cargo!$D$15,IF(36=1,Port!$E$20,0),0)</f>
        <v>0</v>
      </c>
      <c r="AN45" s="39">
        <f>IF(37&lt;=Cargo!$D$15,IF(37=1,Port!$E$20,0),0)</f>
        <v>0</v>
      </c>
      <c r="AO45" s="39">
        <f>IF(38&lt;=Cargo!$D$15,IF(38=1,Port!$E$20,0),0)</f>
        <v>0</v>
      </c>
      <c r="AP45" s="39">
        <f>IF(39&lt;=Cargo!$D$15,IF(39=1,Port!$E$20,0),0)</f>
        <v>0</v>
      </c>
      <c r="AQ45" s="39">
        <f>IF(40&lt;=Cargo!$D$15,IF(40=1,Port!$E$20,0),0)</f>
        <v>0</v>
      </c>
    </row>
    <row r="46" spans="2:43" ht="15" customHeight="1" x14ac:dyDescent="0.45">
      <c r="B46" s="38" t="s">
        <v>116</v>
      </c>
      <c r="D46" s="39">
        <f>IF(1&lt;=Cargo!$D$15,Port!$E$21*(1+Cargo!$D$18)^(1-1),0)</f>
        <v>0</v>
      </c>
      <c r="E46" s="39">
        <f>IF(2&lt;=Cargo!$D$15,Port!$E$21*(1+Cargo!$D$18)^(2-1),0)</f>
        <v>0</v>
      </c>
      <c r="F46" s="39">
        <f>IF(3&lt;=Cargo!$D$15,Port!$E$21*(1+Cargo!$D$18)^(3-1),0)</f>
        <v>0</v>
      </c>
      <c r="G46" s="39">
        <f>IF(4&lt;=Cargo!$D$15,Port!$E$21*(1+Cargo!$D$18)^(4-1),0)</f>
        <v>0</v>
      </c>
      <c r="H46" s="39">
        <f>IF(5&lt;=Cargo!$D$15,Port!$E$21*(1+Cargo!$D$18)^(5-1),0)</f>
        <v>0</v>
      </c>
      <c r="I46" s="39">
        <f>IF(6&lt;=Cargo!$D$15,Port!$E$21*(1+Cargo!$D$18)^(6-1),0)</f>
        <v>0</v>
      </c>
      <c r="J46" s="39">
        <f>IF(7&lt;=Cargo!$D$15,Port!$E$21*(1+Cargo!$D$18)^(7-1),0)</f>
        <v>0</v>
      </c>
      <c r="K46" s="39">
        <f>IF(8&lt;=Cargo!$D$15,Port!$E$21*(1+Cargo!$D$18)^(8-1),0)</f>
        <v>0</v>
      </c>
      <c r="L46" s="39">
        <f>IF(9&lt;=Cargo!$D$15,Port!$E$21*(1+Cargo!$D$18)^(9-1),0)</f>
        <v>0</v>
      </c>
      <c r="M46" s="39">
        <f>IF(10&lt;=Cargo!$D$15,Port!$E$21*(1+Cargo!$D$18)^(10-1),0)</f>
        <v>0</v>
      </c>
      <c r="N46" s="39">
        <f>IF(11&lt;=Cargo!$D$15,Port!$E$21*(1+Cargo!$D$18)^(11-1),0)</f>
        <v>0</v>
      </c>
      <c r="O46" s="39">
        <f>IF(12&lt;=Cargo!$D$15,Port!$E$21*(1+Cargo!$D$18)^(12-1),0)</f>
        <v>0</v>
      </c>
      <c r="P46" s="39">
        <f>IF(13&lt;=Cargo!$D$15,Port!$E$21*(1+Cargo!$D$18)^(13-1),0)</f>
        <v>0</v>
      </c>
      <c r="Q46" s="39">
        <f>IF(14&lt;=Cargo!$D$15,Port!$E$21*(1+Cargo!$D$18)^(14-1),0)</f>
        <v>0</v>
      </c>
      <c r="R46" s="39">
        <f>IF(15&lt;=Cargo!$D$15,Port!$E$21*(1+Cargo!$D$18)^(15-1),0)</f>
        <v>0</v>
      </c>
      <c r="S46" s="39">
        <f>IF(16&lt;=Cargo!$D$15,Port!$E$21*(1+Cargo!$D$18)^(16-1),0)</f>
        <v>0</v>
      </c>
      <c r="T46" s="39">
        <f>IF(17&lt;=Cargo!$D$15,Port!$E$21*(1+Cargo!$D$18)^(17-1),0)</f>
        <v>0</v>
      </c>
      <c r="U46" s="39">
        <f>IF(18&lt;=Cargo!$D$15,Port!$E$21*(1+Cargo!$D$18)^(18-1),0)</f>
        <v>0</v>
      </c>
      <c r="V46" s="39">
        <f>IF(19&lt;=Cargo!$D$15,Port!$E$21*(1+Cargo!$D$18)^(19-1),0)</f>
        <v>0</v>
      </c>
      <c r="W46" s="39">
        <f>IF(20&lt;=Cargo!$D$15,Port!$E$21*(1+Cargo!$D$18)^(20-1),0)</f>
        <v>0</v>
      </c>
      <c r="X46" s="39">
        <f>IF(21&lt;=Cargo!$D$15,Port!$E$21*(1+Cargo!$D$18)^(21-1),0)</f>
        <v>0</v>
      </c>
      <c r="Y46" s="39">
        <f>IF(22&lt;=Cargo!$D$15,Port!$E$21*(1+Cargo!$D$18)^(22-1),0)</f>
        <v>0</v>
      </c>
      <c r="Z46" s="39">
        <f>IF(23&lt;=Cargo!$D$15,Port!$E$21*(1+Cargo!$D$18)^(23-1),0)</f>
        <v>0</v>
      </c>
      <c r="AA46" s="39">
        <f>IF(24&lt;=Cargo!$D$15,Port!$E$21*(1+Cargo!$D$18)^(24-1),0)</f>
        <v>0</v>
      </c>
      <c r="AB46" s="39">
        <f>IF(25&lt;=Cargo!$D$15,Port!$E$21*(1+Cargo!$D$18)^(25-1),0)</f>
        <v>0</v>
      </c>
      <c r="AC46" s="39">
        <f>IF(26&lt;=Cargo!$D$15,Port!$E$21*(1+Cargo!$D$18)^(26-1),0)</f>
        <v>0</v>
      </c>
      <c r="AD46" s="39">
        <f>IF(27&lt;=Cargo!$D$15,Port!$E$21*(1+Cargo!$D$18)^(27-1),0)</f>
        <v>0</v>
      </c>
      <c r="AE46" s="39">
        <f>IF(28&lt;=Cargo!$D$15,Port!$E$21*(1+Cargo!$D$18)^(28-1),0)</f>
        <v>0</v>
      </c>
      <c r="AF46" s="39">
        <f>IF(29&lt;=Cargo!$D$15,Port!$E$21*(1+Cargo!$D$18)^(29-1),0)</f>
        <v>0</v>
      </c>
      <c r="AG46" s="39">
        <f>IF(30&lt;=Cargo!$D$15,Port!$E$21*(1+Cargo!$D$18)^(30-1),0)</f>
        <v>0</v>
      </c>
      <c r="AH46" s="39">
        <f>IF(31&lt;=Cargo!$D$15,Port!$E$21*(1+Cargo!$D$18)^(31-1),0)</f>
        <v>0</v>
      </c>
      <c r="AI46" s="39">
        <f>IF(32&lt;=Cargo!$D$15,Port!$E$21*(1+Cargo!$D$18)^(32-1),0)</f>
        <v>0</v>
      </c>
      <c r="AJ46" s="39">
        <f>IF(33&lt;=Cargo!$D$15,Port!$E$21*(1+Cargo!$D$18)^(33-1),0)</f>
        <v>0</v>
      </c>
      <c r="AK46" s="39">
        <f>IF(34&lt;=Cargo!$D$15,Port!$E$21*(1+Cargo!$D$18)^(34-1),0)</f>
        <v>0</v>
      </c>
      <c r="AL46" s="39">
        <f>IF(35&lt;=Cargo!$D$15,Port!$E$21*(1+Cargo!$D$18)^(35-1),0)</f>
        <v>0</v>
      </c>
      <c r="AM46" s="39">
        <f>IF(36&lt;=Cargo!$D$15,Port!$E$21*(1+Cargo!$D$18)^(36-1),0)</f>
        <v>0</v>
      </c>
      <c r="AN46" s="39">
        <f>IF(37&lt;=Cargo!$D$15,Port!$E$21*(1+Cargo!$D$18)^(37-1),0)</f>
        <v>0</v>
      </c>
      <c r="AO46" s="39">
        <f>IF(38&lt;=Cargo!$D$15,Port!$E$21*(1+Cargo!$D$18)^(38-1),0)</f>
        <v>0</v>
      </c>
      <c r="AP46" s="39">
        <f>IF(39&lt;=Cargo!$D$15,Port!$E$21*(1+Cargo!$D$18)^(39-1),0)</f>
        <v>0</v>
      </c>
      <c r="AQ46" s="39">
        <f>IF(40&lt;=Cargo!$D$15,Port!$E$21*(1+Cargo!$D$18)^(40-1),0)</f>
        <v>0</v>
      </c>
    </row>
    <row r="47" spans="2:43" ht="15" customHeight="1" x14ac:dyDescent="0.45">
      <c r="B47" s="38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2:43" ht="15" customHeight="1" x14ac:dyDescent="0.45">
      <c r="B48" s="38" t="s">
        <v>117</v>
      </c>
      <c r="D48" s="39">
        <f>IF(1&lt;=Cargo!$D$15,IF(1=1,Vessel!$E$18,0),0)</f>
        <v>0</v>
      </c>
      <c r="E48" s="39">
        <f>IF(2&lt;=Cargo!$D$15,IF(2=1,Vessel!$E$18,0),0)</f>
        <v>0</v>
      </c>
      <c r="F48" s="39">
        <f>IF(3&lt;=Cargo!$D$15,IF(3=1,Vessel!$E$18,0),0)</f>
        <v>0</v>
      </c>
      <c r="G48" s="39">
        <f>IF(4&lt;=Cargo!$D$15,IF(4=1,Vessel!$E$18,0),0)</f>
        <v>0</v>
      </c>
      <c r="H48" s="39">
        <f>IF(5&lt;=Cargo!$D$15,IF(5=1,Vessel!$E$18,0),0)</f>
        <v>0</v>
      </c>
      <c r="I48" s="39">
        <f>IF(6&lt;=Cargo!$D$15,IF(6=1,Vessel!$E$18,0),0)</f>
        <v>0</v>
      </c>
      <c r="J48" s="39">
        <f>IF(7&lt;=Cargo!$D$15,IF(7=1,Vessel!$E$18,0),0)</f>
        <v>0</v>
      </c>
      <c r="K48" s="39">
        <f>IF(8&lt;=Cargo!$D$15,IF(8=1,Vessel!$E$18,0),0)</f>
        <v>0</v>
      </c>
      <c r="L48" s="39">
        <f>IF(9&lt;=Cargo!$D$15,IF(9=1,Vessel!$E$18,0),0)</f>
        <v>0</v>
      </c>
      <c r="M48" s="39">
        <f>IF(10&lt;=Cargo!$D$15,IF(10=1,Vessel!$E$18,0),0)</f>
        <v>0</v>
      </c>
      <c r="N48" s="39">
        <f>IF(11&lt;=Cargo!$D$15,IF(11=1,Vessel!$E$18,0),0)</f>
        <v>0</v>
      </c>
      <c r="O48" s="39">
        <f>IF(12&lt;=Cargo!$D$15,IF(12=1,Vessel!$E$18,0),0)</f>
        <v>0</v>
      </c>
      <c r="P48" s="39">
        <f>IF(13&lt;=Cargo!$D$15,IF(13=1,Vessel!$E$18,0),0)</f>
        <v>0</v>
      </c>
      <c r="Q48" s="39">
        <f>IF(14&lt;=Cargo!$D$15,IF(14=1,Vessel!$E$18,0),0)</f>
        <v>0</v>
      </c>
      <c r="R48" s="39">
        <f>IF(15&lt;=Cargo!$D$15,IF(15=1,Vessel!$E$18,0),0)</f>
        <v>0</v>
      </c>
      <c r="S48" s="39">
        <f>IF(16&lt;=Cargo!$D$15,IF(16=1,Vessel!$E$18,0),0)</f>
        <v>0</v>
      </c>
      <c r="T48" s="39">
        <f>IF(17&lt;=Cargo!$D$15,IF(17=1,Vessel!$E$18,0),0)</f>
        <v>0</v>
      </c>
      <c r="U48" s="39">
        <f>IF(18&lt;=Cargo!$D$15,IF(18=1,Vessel!$E$18,0),0)</f>
        <v>0</v>
      </c>
      <c r="V48" s="39">
        <f>IF(19&lt;=Cargo!$D$15,IF(19=1,Vessel!$E$18,0),0)</f>
        <v>0</v>
      </c>
      <c r="W48" s="39">
        <f>IF(20&lt;=Cargo!$D$15,IF(20=1,Vessel!$E$18,0),0)</f>
        <v>0</v>
      </c>
      <c r="X48" s="39">
        <f>IF(21&lt;=Cargo!$D$15,IF(21=1,Vessel!$E$18,0),0)</f>
        <v>0</v>
      </c>
      <c r="Y48" s="39">
        <f>IF(22&lt;=Cargo!$D$15,IF(22=1,Vessel!$E$18,0),0)</f>
        <v>0</v>
      </c>
      <c r="Z48" s="39">
        <f>IF(23&lt;=Cargo!$D$15,IF(23=1,Vessel!$E$18,0),0)</f>
        <v>0</v>
      </c>
      <c r="AA48" s="39">
        <f>IF(24&lt;=Cargo!$D$15,IF(24=1,Vessel!$E$18,0),0)</f>
        <v>0</v>
      </c>
      <c r="AB48" s="39">
        <f>IF(25&lt;=Cargo!$D$15,IF(25=1,Vessel!$E$18,0),0)</f>
        <v>0</v>
      </c>
      <c r="AC48" s="39">
        <f>IF(26&lt;=Cargo!$D$15,IF(26=1,Vessel!$E$18,0),0)</f>
        <v>0</v>
      </c>
      <c r="AD48" s="39">
        <f>IF(27&lt;=Cargo!$D$15,IF(27=1,Vessel!$E$18,0),0)</f>
        <v>0</v>
      </c>
      <c r="AE48" s="39">
        <f>IF(28&lt;=Cargo!$D$15,IF(28=1,Vessel!$E$18,0),0)</f>
        <v>0</v>
      </c>
      <c r="AF48" s="39">
        <f>IF(29&lt;=Cargo!$D$15,IF(29=1,Vessel!$E$18,0),0)</f>
        <v>0</v>
      </c>
      <c r="AG48" s="39">
        <f>IF(30&lt;=Cargo!$D$15,IF(30=1,Vessel!$E$18,0),0)</f>
        <v>0</v>
      </c>
      <c r="AH48" s="39">
        <f>IF(31&lt;=Cargo!$D$15,IF(31=1,Vessel!$E$18,0),0)</f>
        <v>0</v>
      </c>
      <c r="AI48" s="39">
        <f>IF(32&lt;=Cargo!$D$15,IF(32=1,Vessel!$E$18,0),0)</f>
        <v>0</v>
      </c>
      <c r="AJ48" s="39">
        <f>IF(33&lt;=Cargo!$D$15,IF(33=1,Vessel!$E$18,0),0)</f>
        <v>0</v>
      </c>
      <c r="AK48" s="39">
        <f>IF(34&lt;=Cargo!$D$15,IF(34=1,Vessel!$E$18,0),0)</f>
        <v>0</v>
      </c>
      <c r="AL48" s="39">
        <f>IF(35&lt;=Cargo!$D$15,IF(35=1,Vessel!$E$18,0),0)</f>
        <v>0</v>
      </c>
      <c r="AM48" s="39">
        <f>IF(36&lt;=Cargo!$D$15,IF(36=1,Vessel!$E$18,0),0)</f>
        <v>0</v>
      </c>
      <c r="AN48" s="39">
        <f>IF(37&lt;=Cargo!$D$15,IF(37=1,Vessel!$E$18,0),0)</f>
        <v>0</v>
      </c>
      <c r="AO48" s="39">
        <f>IF(38&lt;=Cargo!$D$15,IF(38=1,Vessel!$E$18,0),0)</f>
        <v>0</v>
      </c>
      <c r="AP48" s="39">
        <f>IF(39&lt;=Cargo!$D$15,IF(39=1,Vessel!$E$18,0),0)</f>
        <v>0</v>
      </c>
      <c r="AQ48" s="39">
        <f>IF(40&lt;=Cargo!$D$15,IF(40=1,Vessel!$E$18,0),0)</f>
        <v>0</v>
      </c>
    </row>
    <row r="49" spans="2:43" ht="15" customHeight="1" x14ac:dyDescent="0.45">
      <c r="B49" s="38" t="s">
        <v>118</v>
      </c>
      <c r="D49" s="39">
        <f>IF(1&lt;=Cargo!$D$15,Vessel!$E$19*(1+Cargo!$D$18)^(1-1),0)</f>
        <v>1.2</v>
      </c>
      <c r="E49" s="39">
        <f>IF(2&lt;=Cargo!$D$15,Vessel!$E$19*(1+Cargo!$D$18)^(2-1),0)</f>
        <v>1.224</v>
      </c>
      <c r="F49" s="39">
        <f>IF(3&lt;=Cargo!$D$15,Vessel!$E$19*(1+Cargo!$D$18)^(3-1),0)</f>
        <v>1.24848</v>
      </c>
      <c r="G49" s="39">
        <f>IF(4&lt;=Cargo!$D$15,Vessel!$E$19*(1+Cargo!$D$18)^(4-1),0)</f>
        <v>1.2734496</v>
      </c>
      <c r="H49" s="39">
        <f>IF(5&lt;=Cargo!$D$15,Vessel!$E$19*(1+Cargo!$D$18)^(5-1),0)</f>
        <v>1.2989185919999999</v>
      </c>
      <c r="I49" s="39">
        <f>IF(6&lt;=Cargo!$D$15,Vessel!$E$19*(1+Cargo!$D$18)^(6-1),0)</f>
        <v>1.3248969638399999</v>
      </c>
      <c r="J49" s="39">
        <f>IF(7&lt;=Cargo!$D$15,Vessel!$E$19*(1+Cargo!$D$18)^(7-1),0)</f>
        <v>1.3513949031168</v>
      </c>
      <c r="K49" s="39">
        <f>IF(8&lt;=Cargo!$D$15,Vessel!$E$19*(1+Cargo!$D$18)^(8-1),0)</f>
        <v>1.3784228011791357</v>
      </c>
      <c r="L49" s="39">
        <f>IF(9&lt;=Cargo!$D$15,Vessel!$E$19*(1+Cargo!$D$18)^(9-1),0)</f>
        <v>1.4059912572027187</v>
      </c>
      <c r="M49" s="39">
        <f>IF(10&lt;=Cargo!$D$15,Vessel!$E$19*(1+Cargo!$D$18)^(10-1),0)</f>
        <v>1.4341110823467729</v>
      </c>
      <c r="N49" s="39">
        <f>IF(11&lt;=Cargo!$D$15,Vessel!$E$19*(1+Cargo!$D$18)^(11-1),0)</f>
        <v>1.4627933039937084</v>
      </c>
      <c r="O49" s="39">
        <f>IF(12&lt;=Cargo!$D$15,Vessel!$E$19*(1+Cargo!$D$18)^(12-1),0)</f>
        <v>1.4920491700735823</v>
      </c>
      <c r="P49" s="39">
        <f>IF(13&lt;=Cargo!$D$15,Vessel!$E$19*(1+Cargo!$D$18)^(13-1),0)</f>
        <v>1.5218901534750542</v>
      </c>
      <c r="Q49" s="39">
        <f>IF(14&lt;=Cargo!$D$15,Vessel!$E$19*(1+Cargo!$D$18)^(14-1),0)</f>
        <v>1.5523279565445554</v>
      </c>
      <c r="R49" s="39">
        <f>IF(15&lt;=Cargo!$D$15,Vessel!$E$19*(1+Cargo!$D$18)^(15-1),0)</f>
        <v>1.5833745156754466</v>
      </c>
      <c r="S49" s="39">
        <f>IF(16&lt;=Cargo!$D$15,Vessel!$E$19*(1+Cargo!$D$18)^(16-1),0)</f>
        <v>1.615042005988955</v>
      </c>
      <c r="T49" s="39">
        <f>IF(17&lt;=Cargo!$D$15,Vessel!$E$19*(1+Cargo!$D$18)^(17-1),0)</f>
        <v>1.6473428461087345</v>
      </c>
      <c r="U49" s="39">
        <f>IF(18&lt;=Cargo!$D$15,Vessel!$E$19*(1+Cargo!$D$18)^(18-1),0)</f>
        <v>1.6802897030309092</v>
      </c>
      <c r="V49" s="39">
        <f>IF(19&lt;=Cargo!$D$15,Vessel!$E$19*(1+Cargo!$D$18)^(19-1),0)</f>
        <v>1.7138954970915272</v>
      </c>
      <c r="W49" s="39">
        <f>IF(20&lt;=Cargo!$D$15,Vessel!$E$19*(1+Cargo!$D$18)^(20-1),0)</f>
        <v>1.7481734070333577</v>
      </c>
      <c r="X49" s="39">
        <f>IF(21&lt;=Cargo!$D$15,Vessel!$E$19*(1+Cargo!$D$18)^(21-1),0)</f>
        <v>0</v>
      </c>
      <c r="Y49" s="39">
        <f>IF(22&lt;=Cargo!$D$15,Vessel!$E$19*(1+Cargo!$D$18)^(22-1),0)</f>
        <v>0</v>
      </c>
      <c r="Z49" s="39">
        <f>IF(23&lt;=Cargo!$D$15,Vessel!$E$19*(1+Cargo!$D$18)^(23-1),0)</f>
        <v>0</v>
      </c>
      <c r="AA49" s="39">
        <f>IF(24&lt;=Cargo!$D$15,Vessel!$E$19*(1+Cargo!$D$18)^(24-1),0)</f>
        <v>0</v>
      </c>
      <c r="AB49" s="39">
        <f>IF(25&lt;=Cargo!$D$15,Vessel!$E$19*(1+Cargo!$D$18)^(25-1),0)</f>
        <v>0</v>
      </c>
      <c r="AC49" s="39">
        <f>IF(26&lt;=Cargo!$D$15,Vessel!$E$19*(1+Cargo!$D$18)^(26-1),0)</f>
        <v>0</v>
      </c>
      <c r="AD49" s="39">
        <f>IF(27&lt;=Cargo!$D$15,Vessel!$E$19*(1+Cargo!$D$18)^(27-1),0)</f>
        <v>0</v>
      </c>
      <c r="AE49" s="39">
        <f>IF(28&lt;=Cargo!$D$15,Vessel!$E$19*(1+Cargo!$D$18)^(28-1),0)</f>
        <v>0</v>
      </c>
      <c r="AF49" s="39">
        <f>IF(29&lt;=Cargo!$D$15,Vessel!$E$19*(1+Cargo!$D$18)^(29-1),0)</f>
        <v>0</v>
      </c>
      <c r="AG49" s="39">
        <f>IF(30&lt;=Cargo!$D$15,Vessel!$E$19*(1+Cargo!$D$18)^(30-1),0)</f>
        <v>0</v>
      </c>
      <c r="AH49" s="39">
        <f>IF(31&lt;=Cargo!$D$15,Vessel!$E$19*(1+Cargo!$D$18)^(31-1),0)</f>
        <v>0</v>
      </c>
      <c r="AI49" s="39">
        <f>IF(32&lt;=Cargo!$D$15,Vessel!$E$19*(1+Cargo!$D$18)^(32-1),0)</f>
        <v>0</v>
      </c>
      <c r="AJ49" s="39">
        <f>IF(33&lt;=Cargo!$D$15,Vessel!$E$19*(1+Cargo!$D$18)^(33-1),0)</f>
        <v>0</v>
      </c>
      <c r="AK49" s="39">
        <f>IF(34&lt;=Cargo!$D$15,Vessel!$E$19*(1+Cargo!$D$18)^(34-1),0)</f>
        <v>0</v>
      </c>
      <c r="AL49" s="39">
        <f>IF(35&lt;=Cargo!$D$15,Vessel!$E$19*(1+Cargo!$D$18)^(35-1),0)</f>
        <v>0</v>
      </c>
      <c r="AM49" s="39">
        <f>IF(36&lt;=Cargo!$D$15,Vessel!$E$19*(1+Cargo!$D$18)^(36-1),0)</f>
        <v>0</v>
      </c>
      <c r="AN49" s="39">
        <f>IF(37&lt;=Cargo!$D$15,Vessel!$E$19*(1+Cargo!$D$18)^(37-1),0)</f>
        <v>0</v>
      </c>
      <c r="AO49" s="39">
        <f>IF(38&lt;=Cargo!$D$15,Vessel!$E$19*(1+Cargo!$D$18)^(38-1),0)</f>
        <v>0</v>
      </c>
      <c r="AP49" s="39">
        <f>IF(39&lt;=Cargo!$D$15,Vessel!$E$19*(1+Cargo!$D$18)^(39-1),0)</f>
        <v>0</v>
      </c>
      <c r="AQ49" s="39">
        <f>IF(40&lt;=Cargo!$D$15,Vessel!$E$19*(1+Cargo!$D$18)^(40-1),0)</f>
        <v>0</v>
      </c>
    </row>
    <row r="50" spans="2:43" ht="15" customHeight="1" x14ac:dyDescent="0.45">
      <c r="B50" s="34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</row>
    <row r="51" spans="2:43" ht="15" customHeight="1" x14ac:dyDescent="0.45">
      <c r="B51" s="34" t="s">
        <v>119</v>
      </c>
      <c r="D51" s="41">
        <f t="shared" ref="D51:AQ51" si="4">+D39+D42+D45+D48</f>
        <v>0</v>
      </c>
      <c r="E51" s="41">
        <f t="shared" si="4"/>
        <v>0</v>
      </c>
      <c r="F51" s="41">
        <f t="shared" si="4"/>
        <v>0</v>
      </c>
      <c r="G51" s="41">
        <f t="shared" si="4"/>
        <v>0</v>
      </c>
      <c r="H51" s="41">
        <f t="shared" si="4"/>
        <v>0</v>
      </c>
      <c r="I51" s="41">
        <f t="shared" si="4"/>
        <v>0</v>
      </c>
      <c r="J51" s="41">
        <f t="shared" si="4"/>
        <v>0</v>
      </c>
      <c r="K51" s="41">
        <f t="shared" si="4"/>
        <v>0</v>
      </c>
      <c r="L51" s="41">
        <f t="shared" si="4"/>
        <v>0</v>
      </c>
      <c r="M51" s="41">
        <f t="shared" si="4"/>
        <v>0</v>
      </c>
      <c r="N51" s="41">
        <f t="shared" si="4"/>
        <v>0</v>
      </c>
      <c r="O51" s="41">
        <f t="shared" si="4"/>
        <v>0</v>
      </c>
      <c r="P51" s="41">
        <f t="shared" si="4"/>
        <v>0</v>
      </c>
      <c r="Q51" s="41">
        <f t="shared" si="4"/>
        <v>0</v>
      </c>
      <c r="R51" s="41">
        <f t="shared" si="4"/>
        <v>0</v>
      </c>
      <c r="S51" s="41">
        <f t="shared" si="4"/>
        <v>0</v>
      </c>
      <c r="T51" s="41">
        <f t="shared" si="4"/>
        <v>0</v>
      </c>
      <c r="U51" s="41">
        <f t="shared" si="4"/>
        <v>0</v>
      </c>
      <c r="V51" s="41">
        <f t="shared" si="4"/>
        <v>0</v>
      </c>
      <c r="W51" s="41">
        <f t="shared" si="4"/>
        <v>0</v>
      </c>
      <c r="X51" s="41">
        <f t="shared" si="4"/>
        <v>0</v>
      </c>
      <c r="Y51" s="41">
        <f t="shared" si="4"/>
        <v>0</v>
      </c>
      <c r="Z51" s="41">
        <f t="shared" si="4"/>
        <v>0</v>
      </c>
      <c r="AA51" s="41">
        <f t="shared" si="4"/>
        <v>0</v>
      </c>
      <c r="AB51" s="41">
        <f t="shared" si="4"/>
        <v>0</v>
      </c>
      <c r="AC51" s="41">
        <f t="shared" si="4"/>
        <v>0</v>
      </c>
      <c r="AD51" s="41">
        <f t="shared" si="4"/>
        <v>0</v>
      </c>
      <c r="AE51" s="41">
        <f t="shared" si="4"/>
        <v>0</v>
      </c>
      <c r="AF51" s="41">
        <f t="shared" si="4"/>
        <v>0</v>
      </c>
      <c r="AG51" s="41">
        <f t="shared" si="4"/>
        <v>0</v>
      </c>
      <c r="AH51" s="41">
        <f t="shared" si="4"/>
        <v>0</v>
      </c>
      <c r="AI51" s="41">
        <f t="shared" si="4"/>
        <v>0</v>
      </c>
      <c r="AJ51" s="41">
        <f t="shared" si="4"/>
        <v>0</v>
      </c>
      <c r="AK51" s="41">
        <f t="shared" si="4"/>
        <v>0</v>
      </c>
      <c r="AL51" s="41">
        <f t="shared" si="4"/>
        <v>0</v>
      </c>
      <c r="AM51" s="41">
        <f t="shared" si="4"/>
        <v>0</v>
      </c>
      <c r="AN51" s="41">
        <f t="shared" si="4"/>
        <v>0</v>
      </c>
      <c r="AO51" s="41">
        <f t="shared" si="4"/>
        <v>0</v>
      </c>
      <c r="AP51" s="41">
        <f t="shared" si="4"/>
        <v>0</v>
      </c>
      <c r="AQ51" s="41">
        <f t="shared" si="4"/>
        <v>0</v>
      </c>
    </row>
    <row r="52" spans="2:43" ht="15" customHeight="1" x14ac:dyDescent="0.45">
      <c r="B52" s="34" t="s">
        <v>120</v>
      </c>
      <c r="D52" s="41">
        <f t="shared" ref="D52:AQ52" si="5">+D40+D43+D46+D49</f>
        <v>1.9092537313432836</v>
      </c>
      <c r="E52" s="41">
        <f t="shared" si="5"/>
        <v>1.9474388059701493</v>
      </c>
      <c r="F52" s="41">
        <f t="shared" si="5"/>
        <v>1.9863875820895522</v>
      </c>
      <c r="G52" s="41">
        <f t="shared" si="5"/>
        <v>2.0261153337313433</v>
      </c>
      <c r="H52" s="41">
        <f t="shared" si="5"/>
        <v>2.0666376404059701</v>
      </c>
      <c r="I52" s="41">
        <f t="shared" si="5"/>
        <v>2.1079703932140896</v>
      </c>
      <c r="J52" s="41">
        <f t="shared" si="5"/>
        <v>2.1501298010783714</v>
      </c>
      <c r="K52" s="41">
        <f t="shared" si="5"/>
        <v>2.1931323970999386</v>
      </c>
      <c r="L52" s="41">
        <f t="shared" si="5"/>
        <v>2.2369950450419376</v>
      </c>
      <c r="M52" s="41">
        <f t="shared" si="5"/>
        <v>2.2817349459427758</v>
      </c>
      <c r="N52" s="41">
        <f t="shared" si="5"/>
        <v>2.3273696448616317</v>
      </c>
      <c r="O52" s="41">
        <f t="shared" si="5"/>
        <v>2.3739170377588641</v>
      </c>
      <c r="P52" s="41">
        <f t="shared" si="5"/>
        <v>2.4213953785140414</v>
      </c>
      <c r="Q52" s="41">
        <f t="shared" si="5"/>
        <v>2.4698232860843223</v>
      </c>
      <c r="R52" s="41">
        <f t="shared" si="5"/>
        <v>2.5192197518060091</v>
      </c>
      <c r="S52" s="41">
        <f t="shared" si="5"/>
        <v>2.5696041468421287</v>
      </c>
      <c r="T52" s="41">
        <f t="shared" si="5"/>
        <v>2.6209962297789717</v>
      </c>
      <c r="U52" s="41">
        <f t="shared" si="5"/>
        <v>2.6734161543745509</v>
      </c>
      <c r="V52" s="41">
        <f t="shared" si="5"/>
        <v>2.726884477462042</v>
      </c>
      <c r="W52" s="41">
        <f t="shared" si="5"/>
        <v>2.7814221670112826</v>
      </c>
      <c r="X52" s="41">
        <f t="shared" si="5"/>
        <v>0</v>
      </c>
      <c r="Y52" s="41">
        <f t="shared" si="5"/>
        <v>0</v>
      </c>
      <c r="Z52" s="41">
        <f t="shared" si="5"/>
        <v>0</v>
      </c>
      <c r="AA52" s="41">
        <f t="shared" si="5"/>
        <v>0</v>
      </c>
      <c r="AB52" s="41">
        <f t="shared" si="5"/>
        <v>0</v>
      </c>
      <c r="AC52" s="41">
        <f t="shared" si="5"/>
        <v>0</v>
      </c>
      <c r="AD52" s="41">
        <f t="shared" si="5"/>
        <v>0</v>
      </c>
      <c r="AE52" s="41">
        <f t="shared" si="5"/>
        <v>0</v>
      </c>
      <c r="AF52" s="41">
        <f t="shared" si="5"/>
        <v>0</v>
      </c>
      <c r="AG52" s="41">
        <f t="shared" si="5"/>
        <v>0</v>
      </c>
      <c r="AH52" s="41">
        <f t="shared" si="5"/>
        <v>0</v>
      </c>
      <c r="AI52" s="41">
        <f t="shared" si="5"/>
        <v>0</v>
      </c>
      <c r="AJ52" s="41">
        <f t="shared" si="5"/>
        <v>0</v>
      </c>
      <c r="AK52" s="41">
        <f t="shared" si="5"/>
        <v>0</v>
      </c>
      <c r="AL52" s="41">
        <f t="shared" si="5"/>
        <v>0</v>
      </c>
      <c r="AM52" s="41">
        <f t="shared" si="5"/>
        <v>0</v>
      </c>
      <c r="AN52" s="41">
        <f t="shared" si="5"/>
        <v>0</v>
      </c>
      <c r="AO52" s="41">
        <f t="shared" si="5"/>
        <v>0</v>
      </c>
      <c r="AP52" s="41">
        <f t="shared" si="5"/>
        <v>0</v>
      </c>
      <c r="AQ52" s="41">
        <f t="shared" si="5"/>
        <v>0</v>
      </c>
    </row>
    <row r="54" spans="2:43" ht="15" customHeight="1" x14ac:dyDescent="0.45">
      <c r="B54" s="38" t="s">
        <v>121</v>
      </c>
      <c r="D54" s="39">
        <f>IF(AND(1&lt;=Cargo!$D$15,Regulation!$D$6="Yes"),Vessel!$D$7*Fuel!$E$28*Fuel!$E$25*(IF(D8&lt;2024,0,IF(D8&lt;2025,0.4,IF(D8&lt;2026,0.7,1))))*Regulation!$D$9*Regulation!$D$7*Regulation!$D$8/1000000,0)</f>
        <v>0.34044179104477618</v>
      </c>
      <c r="E54" s="39">
        <f>IF(AND(2&lt;=Cargo!$D$15,Regulation!$D$6="Yes"),Vessel!$D$7*Fuel!$E$28*Fuel!$E$25*(IF(E8&lt;2024,0,IF(E8&lt;2025,0.4,IF(E8&lt;2026,0.7,1))))*Regulation!$D$9*Regulation!$D$7*Regulation!$D$8/1000000,0)</f>
        <v>0.34044179104477618</v>
      </c>
      <c r="F54" s="39">
        <f>IF(AND(3&lt;=Cargo!$D$15,Regulation!$D$6="Yes"),Vessel!$D$7*Fuel!$E$28*Fuel!$E$25*(IF(F8&lt;2024,0,IF(F8&lt;2025,0.4,IF(F8&lt;2026,0.7,1))))*Regulation!$D$9*Regulation!$D$7*Regulation!$D$8/1000000,0)</f>
        <v>0.34044179104477618</v>
      </c>
      <c r="G54" s="39">
        <f>IF(AND(4&lt;=Cargo!$D$15,Regulation!$D$6="Yes"),Vessel!$D$7*Fuel!$E$28*Fuel!$E$25*(IF(G8&lt;2024,0,IF(G8&lt;2025,0.4,IF(G8&lt;2026,0.7,1))))*Regulation!$D$9*Regulation!$D$7*Regulation!$D$8/1000000,0)</f>
        <v>0.34044179104477618</v>
      </c>
      <c r="H54" s="39">
        <f>IF(AND(5&lt;=Cargo!$D$15,Regulation!$D$6="Yes"),Vessel!$D$7*Fuel!$E$28*Fuel!$E$25*(IF(H8&lt;2024,0,IF(H8&lt;2025,0.4,IF(H8&lt;2026,0.7,1))))*Regulation!$D$9*Regulation!$D$7*Regulation!$D$8/1000000,0)</f>
        <v>0.34044179104477618</v>
      </c>
      <c r="I54" s="39">
        <f>IF(AND(6&lt;=Cargo!$D$15,Regulation!$D$6="Yes"),Vessel!$D$7*Fuel!$E$28*Fuel!$E$25*(IF(I8&lt;2024,0,IF(I8&lt;2025,0.4,IF(I8&lt;2026,0.7,1))))*Regulation!$D$9*Regulation!$D$7*Regulation!$D$8/1000000,0)</f>
        <v>0.34044179104477618</v>
      </c>
      <c r="J54" s="39">
        <f>IF(AND(7&lt;=Cargo!$D$15,Regulation!$D$6="Yes"),Vessel!$D$7*Fuel!$E$28*Fuel!$E$25*(IF(J8&lt;2024,0,IF(J8&lt;2025,0.4,IF(J8&lt;2026,0.7,1))))*Regulation!$D$9*Regulation!$D$7*Regulation!$D$8/1000000,0)</f>
        <v>0.34044179104477618</v>
      </c>
      <c r="K54" s="39">
        <f>IF(AND(8&lt;=Cargo!$D$15,Regulation!$D$6="Yes"),Vessel!$D$7*Fuel!$E$28*Fuel!$E$25*(IF(K8&lt;2024,0,IF(K8&lt;2025,0.4,IF(K8&lt;2026,0.7,1))))*Regulation!$D$9*Regulation!$D$7*Regulation!$D$8/1000000,0)</f>
        <v>0.34044179104477618</v>
      </c>
      <c r="L54" s="39">
        <f>IF(AND(9&lt;=Cargo!$D$15,Regulation!$D$6="Yes"),Vessel!$D$7*Fuel!$E$28*Fuel!$E$25*(IF(L8&lt;2024,0,IF(L8&lt;2025,0.4,IF(L8&lt;2026,0.7,1))))*Regulation!$D$9*Regulation!$D$7*Regulation!$D$8/1000000,0)</f>
        <v>0.34044179104477618</v>
      </c>
      <c r="M54" s="39">
        <f>IF(AND(10&lt;=Cargo!$D$15,Regulation!$D$6="Yes"),Vessel!$D$7*Fuel!$E$28*Fuel!$E$25*(IF(M8&lt;2024,0,IF(M8&lt;2025,0.4,IF(M8&lt;2026,0.7,1))))*Regulation!$D$9*Regulation!$D$7*Regulation!$D$8/1000000,0)</f>
        <v>0.34044179104477618</v>
      </c>
      <c r="N54" s="39">
        <f>IF(AND(11&lt;=Cargo!$D$15,Regulation!$D$6="Yes"),Vessel!$D$7*Fuel!$E$28*Fuel!$E$25*(IF(N8&lt;2024,0,IF(N8&lt;2025,0.4,IF(N8&lt;2026,0.7,1))))*Regulation!$D$9*Regulation!$D$7*Regulation!$D$8/1000000,0)</f>
        <v>0.34044179104477618</v>
      </c>
      <c r="O54" s="39">
        <f>IF(AND(12&lt;=Cargo!$D$15,Regulation!$D$6="Yes"),Vessel!$D$7*Fuel!$E$28*Fuel!$E$25*(IF(O8&lt;2024,0,IF(O8&lt;2025,0.4,IF(O8&lt;2026,0.7,1))))*Regulation!$D$9*Regulation!$D$7*Regulation!$D$8/1000000,0)</f>
        <v>0.34044179104477618</v>
      </c>
      <c r="P54" s="39">
        <f>IF(AND(13&lt;=Cargo!$D$15,Regulation!$D$6="Yes"),Vessel!$D$7*Fuel!$E$28*Fuel!$E$25*(IF(P8&lt;2024,0,IF(P8&lt;2025,0.4,IF(P8&lt;2026,0.7,1))))*Regulation!$D$9*Regulation!$D$7*Regulation!$D$8/1000000,0)</f>
        <v>0.34044179104477618</v>
      </c>
      <c r="Q54" s="39">
        <f>IF(AND(14&lt;=Cargo!$D$15,Regulation!$D$6="Yes"),Vessel!$D$7*Fuel!$E$28*Fuel!$E$25*(IF(Q8&lt;2024,0,IF(Q8&lt;2025,0.4,IF(Q8&lt;2026,0.7,1))))*Regulation!$D$9*Regulation!$D$7*Regulation!$D$8/1000000,0)</f>
        <v>0.34044179104477618</v>
      </c>
      <c r="R54" s="39">
        <f>IF(AND(15&lt;=Cargo!$D$15,Regulation!$D$6="Yes"),Vessel!$D$7*Fuel!$E$28*Fuel!$E$25*(IF(R8&lt;2024,0,IF(R8&lt;2025,0.4,IF(R8&lt;2026,0.7,1))))*Regulation!$D$9*Regulation!$D$7*Regulation!$D$8/1000000,0)</f>
        <v>0.34044179104477618</v>
      </c>
      <c r="S54" s="39">
        <f>IF(AND(16&lt;=Cargo!$D$15,Regulation!$D$6="Yes"),Vessel!$D$7*Fuel!$E$28*Fuel!$E$25*(IF(S8&lt;2024,0,IF(S8&lt;2025,0.4,IF(S8&lt;2026,0.7,1))))*Regulation!$D$9*Regulation!$D$7*Regulation!$D$8/1000000,0)</f>
        <v>0.34044179104477618</v>
      </c>
      <c r="T54" s="39">
        <f>IF(AND(17&lt;=Cargo!$D$15,Regulation!$D$6="Yes"),Vessel!$D$7*Fuel!$E$28*Fuel!$E$25*(IF(T8&lt;2024,0,IF(T8&lt;2025,0.4,IF(T8&lt;2026,0.7,1))))*Regulation!$D$9*Regulation!$D$7*Regulation!$D$8/1000000,0)</f>
        <v>0.34044179104477618</v>
      </c>
      <c r="U54" s="39">
        <f>IF(AND(18&lt;=Cargo!$D$15,Regulation!$D$6="Yes"),Vessel!$D$7*Fuel!$E$28*Fuel!$E$25*(IF(U8&lt;2024,0,IF(U8&lt;2025,0.4,IF(U8&lt;2026,0.7,1))))*Regulation!$D$9*Regulation!$D$7*Regulation!$D$8/1000000,0)</f>
        <v>0.34044179104477618</v>
      </c>
      <c r="V54" s="39">
        <f>IF(AND(19&lt;=Cargo!$D$15,Regulation!$D$6="Yes"),Vessel!$D$7*Fuel!$E$28*Fuel!$E$25*(IF(V8&lt;2024,0,IF(V8&lt;2025,0.4,IF(V8&lt;2026,0.7,1))))*Regulation!$D$9*Regulation!$D$7*Regulation!$D$8/1000000,0)</f>
        <v>0.34044179104477618</v>
      </c>
      <c r="W54" s="39">
        <f>IF(AND(20&lt;=Cargo!$D$15,Regulation!$D$6="Yes"),Vessel!$D$7*Fuel!$E$28*Fuel!$E$25*(IF(W8&lt;2024,0,IF(W8&lt;2025,0.4,IF(W8&lt;2026,0.7,1))))*Regulation!$D$9*Regulation!$D$7*Regulation!$D$8/1000000,0)</f>
        <v>0.34044179104477618</v>
      </c>
      <c r="X54" s="39">
        <f>IF(AND(21&lt;=Cargo!$D$15,Regulation!$D$6="Yes"),Vessel!$D$7*Fuel!$E$28*Fuel!$E$25*(IF(X8&lt;2024,0,IF(X8&lt;2025,0.4,IF(X8&lt;2026,0.7,1))))*Regulation!$D$9*Regulation!$D$7*Regulation!$D$8/1000000,0)</f>
        <v>0</v>
      </c>
      <c r="Y54" s="39">
        <f>IF(AND(22&lt;=Cargo!$D$15,Regulation!$D$6="Yes"),Vessel!$D$7*Fuel!$E$28*Fuel!$E$25*(IF(Y8&lt;2024,0,IF(Y8&lt;2025,0.4,IF(Y8&lt;2026,0.7,1))))*Regulation!$D$9*Regulation!$D$7*Regulation!$D$8/1000000,0)</f>
        <v>0</v>
      </c>
      <c r="Z54" s="39">
        <f>IF(AND(23&lt;=Cargo!$D$15,Regulation!$D$6="Yes"),Vessel!$D$7*Fuel!$E$28*Fuel!$E$25*(IF(Z8&lt;2024,0,IF(Z8&lt;2025,0.4,IF(Z8&lt;2026,0.7,1))))*Regulation!$D$9*Regulation!$D$7*Regulation!$D$8/1000000,0)</f>
        <v>0</v>
      </c>
      <c r="AA54" s="39">
        <f>IF(AND(24&lt;=Cargo!$D$15,Regulation!$D$6="Yes"),Vessel!$D$7*Fuel!$E$28*Fuel!$E$25*(IF(AA8&lt;2024,0,IF(AA8&lt;2025,0.4,IF(AA8&lt;2026,0.7,1))))*Regulation!$D$9*Regulation!$D$7*Regulation!$D$8/1000000,0)</f>
        <v>0</v>
      </c>
      <c r="AB54" s="39">
        <f>IF(AND(25&lt;=Cargo!$D$15,Regulation!$D$6="Yes"),Vessel!$D$7*Fuel!$E$28*Fuel!$E$25*(IF(AB8&lt;2024,0,IF(AB8&lt;2025,0.4,IF(AB8&lt;2026,0.7,1))))*Regulation!$D$9*Regulation!$D$7*Regulation!$D$8/1000000,0)</f>
        <v>0</v>
      </c>
      <c r="AC54" s="39">
        <f>IF(AND(26&lt;=Cargo!$D$15,Regulation!$D$6="Yes"),Vessel!$D$7*Fuel!$E$28*Fuel!$E$25*(IF(AC8&lt;2024,0,IF(AC8&lt;2025,0.4,IF(AC8&lt;2026,0.7,1))))*Regulation!$D$9*Regulation!$D$7*Regulation!$D$8/1000000,0)</f>
        <v>0</v>
      </c>
      <c r="AD54" s="39">
        <f>IF(AND(27&lt;=Cargo!$D$15,Regulation!$D$6="Yes"),Vessel!$D$7*Fuel!$E$28*Fuel!$E$25*(IF(AD8&lt;2024,0,IF(AD8&lt;2025,0.4,IF(AD8&lt;2026,0.7,1))))*Regulation!$D$9*Regulation!$D$7*Regulation!$D$8/1000000,0)</f>
        <v>0</v>
      </c>
      <c r="AE54" s="39">
        <f>IF(AND(28&lt;=Cargo!$D$15,Regulation!$D$6="Yes"),Vessel!$D$7*Fuel!$E$28*Fuel!$E$25*(IF(AE8&lt;2024,0,IF(AE8&lt;2025,0.4,IF(AE8&lt;2026,0.7,1))))*Regulation!$D$9*Regulation!$D$7*Regulation!$D$8/1000000,0)</f>
        <v>0</v>
      </c>
      <c r="AF54" s="39">
        <f>IF(AND(29&lt;=Cargo!$D$15,Regulation!$D$6="Yes"),Vessel!$D$7*Fuel!$E$28*Fuel!$E$25*(IF(AF8&lt;2024,0,IF(AF8&lt;2025,0.4,IF(AF8&lt;2026,0.7,1))))*Regulation!$D$9*Regulation!$D$7*Regulation!$D$8/1000000,0)</f>
        <v>0</v>
      </c>
      <c r="AG54" s="39">
        <f>IF(AND(30&lt;=Cargo!$D$15,Regulation!$D$6="Yes"),Vessel!$D$7*Fuel!$E$28*Fuel!$E$25*(IF(AG8&lt;2024,0,IF(AG8&lt;2025,0.4,IF(AG8&lt;2026,0.7,1))))*Regulation!$D$9*Regulation!$D$7*Regulation!$D$8/1000000,0)</f>
        <v>0</v>
      </c>
      <c r="AH54" s="39">
        <f>IF(AND(31&lt;=Cargo!$D$15,Regulation!$D$6="Yes"),Vessel!$D$7*Fuel!$E$28*Fuel!$E$25*(IF(AH8&lt;2024,0,IF(AH8&lt;2025,0.4,IF(AH8&lt;2026,0.7,1))))*Regulation!$D$9*Regulation!$D$7*Regulation!$D$8/1000000,0)</f>
        <v>0</v>
      </c>
      <c r="AI54" s="39">
        <f>IF(AND(32&lt;=Cargo!$D$15,Regulation!$D$6="Yes"),Vessel!$D$7*Fuel!$E$28*Fuel!$E$25*(IF(AI8&lt;2024,0,IF(AI8&lt;2025,0.4,IF(AI8&lt;2026,0.7,1))))*Regulation!$D$9*Regulation!$D$7*Regulation!$D$8/1000000,0)</f>
        <v>0</v>
      </c>
      <c r="AJ54" s="39">
        <f>IF(AND(33&lt;=Cargo!$D$15,Regulation!$D$6="Yes"),Vessel!$D$7*Fuel!$E$28*Fuel!$E$25*(IF(AJ8&lt;2024,0,IF(AJ8&lt;2025,0.4,IF(AJ8&lt;2026,0.7,1))))*Regulation!$D$9*Regulation!$D$7*Regulation!$D$8/1000000,0)</f>
        <v>0</v>
      </c>
      <c r="AK54" s="39">
        <f>IF(AND(34&lt;=Cargo!$D$15,Regulation!$D$6="Yes"),Vessel!$D$7*Fuel!$E$28*Fuel!$E$25*(IF(AK8&lt;2024,0,IF(AK8&lt;2025,0.4,IF(AK8&lt;2026,0.7,1))))*Regulation!$D$9*Regulation!$D$7*Regulation!$D$8/1000000,0)</f>
        <v>0</v>
      </c>
      <c r="AL54" s="39">
        <f>IF(AND(35&lt;=Cargo!$D$15,Regulation!$D$6="Yes"),Vessel!$D$7*Fuel!$E$28*Fuel!$E$25*(IF(AL8&lt;2024,0,IF(AL8&lt;2025,0.4,IF(AL8&lt;2026,0.7,1))))*Regulation!$D$9*Regulation!$D$7*Regulation!$D$8/1000000,0)</f>
        <v>0</v>
      </c>
      <c r="AM54" s="39">
        <f>IF(AND(36&lt;=Cargo!$D$15,Regulation!$D$6="Yes"),Vessel!$D$7*Fuel!$E$28*Fuel!$E$25*(IF(AM8&lt;2024,0,IF(AM8&lt;2025,0.4,IF(AM8&lt;2026,0.7,1))))*Regulation!$D$9*Regulation!$D$7*Regulation!$D$8/1000000,0)</f>
        <v>0</v>
      </c>
      <c r="AN54" s="39">
        <f>IF(AND(37&lt;=Cargo!$D$15,Regulation!$D$6="Yes"),Vessel!$D$7*Fuel!$E$28*Fuel!$E$25*(IF(AN8&lt;2024,0,IF(AN8&lt;2025,0.4,IF(AN8&lt;2026,0.7,1))))*Regulation!$D$9*Regulation!$D$7*Regulation!$D$8/1000000,0)</f>
        <v>0</v>
      </c>
      <c r="AO54" s="39">
        <f>IF(AND(38&lt;=Cargo!$D$15,Regulation!$D$6="Yes"),Vessel!$D$7*Fuel!$E$28*Fuel!$E$25*(IF(AO8&lt;2024,0,IF(AO8&lt;2025,0.4,IF(AO8&lt;2026,0.7,1))))*Regulation!$D$9*Regulation!$D$7*Regulation!$D$8/1000000,0)</f>
        <v>0</v>
      </c>
      <c r="AP54" s="39">
        <f>IF(AND(39&lt;=Cargo!$D$15,Regulation!$D$6="Yes"),Vessel!$D$7*Fuel!$E$28*Fuel!$E$25*(IF(AP8&lt;2024,0,IF(AP8&lt;2025,0.4,IF(AP8&lt;2026,0.7,1))))*Regulation!$D$9*Regulation!$D$7*Regulation!$D$8/1000000,0)</f>
        <v>0</v>
      </c>
      <c r="AQ54" s="39">
        <f>IF(AND(40&lt;=Cargo!$D$15,Regulation!$D$6="Yes"),Vessel!$D$7*Fuel!$E$28*Fuel!$E$25*(IF(AQ8&lt;2024,0,IF(AQ8&lt;2025,0.4,IF(AQ8&lt;2026,0.7,1))))*Regulation!$D$9*Regulation!$D$7*Regulation!$D$8/1000000,0)</f>
        <v>0</v>
      </c>
    </row>
    <row r="55" spans="2:43" ht="15" customHeight="1" x14ac:dyDescent="0.45">
      <c r="B55" s="38" t="s">
        <v>122</v>
      </c>
      <c r="D55" s="39">
        <f>IF(AND(1&lt;=Cargo!$D$15,Regulation!$D$14="Yes"),MAX(0,(Fuel!$E$27-Regulation!$D$17*(1-(IF(D8&lt;2025,0,IF(D8&lt;2030,0.02,IF(D8&lt;2035,0.06,IF(D8&lt;2040,0.145,IF(D8&lt;2045,0.31,IF(D8&lt;2050,0.62,0.8)))))))))*(Vessel!$D$7*Fuel!$E$28*Fuel!$E$26)/Fuel!$E$27/Regulation!$D$16*Regulation!$D$15*Regulation!$D$18*Regulation!$D$8/1000000),0)</f>
        <v>0.10059948558758346</v>
      </c>
      <c r="E55" s="39">
        <f>IF(AND(2&lt;=Cargo!$D$15,Regulation!$D$14="Yes"),MAX(0,(Fuel!$E$27-Regulation!$D$17*(1-(IF(E8&lt;2025,0,IF(E8&lt;2030,0.02,IF(E8&lt;2035,0.06,IF(E8&lt;2040,0.145,IF(E8&lt;2045,0.31,IF(E8&lt;2050,0.62,0.8)))))))))*(Vessel!$D$7*Fuel!$E$28*Fuel!$E$26)/Fuel!$E$27/Regulation!$D$16*Regulation!$D$15*Regulation!$D$18*Regulation!$D$8/1000000),0)</f>
        <v>0.10059948558758346</v>
      </c>
      <c r="F55" s="39">
        <f>IF(AND(3&lt;=Cargo!$D$15,Regulation!$D$14="Yes"),MAX(0,(Fuel!$E$27-Regulation!$D$17*(1-(IF(F8&lt;2025,0,IF(F8&lt;2030,0.02,IF(F8&lt;2035,0.06,IF(F8&lt;2040,0.145,IF(F8&lt;2045,0.31,IF(F8&lt;2050,0.62,0.8)))))))))*(Vessel!$D$7*Fuel!$E$28*Fuel!$E$26)/Fuel!$E$27/Regulation!$D$16*Regulation!$D$15*Regulation!$D$18*Regulation!$D$8/1000000),0)</f>
        <v>0.10059948558758346</v>
      </c>
      <c r="G55" s="39">
        <f>IF(AND(4&lt;=Cargo!$D$15,Regulation!$D$14="Yes"),MAX(0,(Fuel!$E$27-Regulation!$D$17*(1-(IF(G8&lt;2025,0,IF(G8&lt;2030,0.02,IF(G8&lt;2035,0.06,IF(G8&lt;2040,0.145,IF(G8&lt;2045,0.31,IF(G8&lt;2050,0.62,0.8)))))))))*(Vessel!$D$7*Fuel!$E$28*Fuel!$E$26)/Fuel!$E$27/Regulation!$D$16*Regulation!$D$15*Regulation!$D$18*Regulation!$D$8/1000000),0)</f>
        <v>0.2203520202724108</v>
      </c>
      <c r="H55" s="39">
        <f>IF(AND(5&lt;=Cargo!$D$15,Regulation!$D$14="Yes"),MAX(0,(Fuel!$E$27-Regulation!$D$17*(1-(IF(H8&lt;2025,0,IF(H8&lt;2030,0.02,IF(H8&lt;2035,0.06,IF(H8&lt;2040,0.145,IF(H8&lt;2045,0.31,IF(H8&lt;2050,0.62,0.8)))))))))*(Vessel!$D$7*Fuel!$E$28*Fuel!$E$26)/Fuel!$E$27/Regulation!$D$16*Regulation!$D$15*Regulation!$D$18*Regulation!$D$8/1000000),0)</f>
        <v>0.2203520202724108</v>
      </c>
      <c r="I55" s="39">
        <f>IF(AND(6&lt;=Cargo!$D$15,Regulation!$D$14="Yes"),MAX(0,(Fuel!$E$27-Regulation!$D$17*(1-(IF(I8&lt;2025,0,IF(I8&lt;2030,0.02,IF(I8&lt;2035,0.06,IF(I8&lt;2040,0.145,IF(I8&lt;2045,0.31,IF(I8&lt;2050,0.62,0.8)))))))))*(Vessel!$D$7*Fuel!$E$28*Fuel!$E$26)/Fuel!$E$27/Regulation!$D$16*Regulation!$D$15*Regulation!$D$18*Regulation!$D$8/1000000),0)</f>
        <v>0.2203520202724108</v>
      </c>
      <c r="J55" s="39">
        <f>IF(AND(7&lt;=Cargo!$D$15,Regulation!$D$14="Yes"),MAX(0,(Fuel!$E$27-Regulation!$D$17*(1-(IF(J8&lt;2025,0,IF(J8&lt;2030,0.02,IF(J8&lt;2035,0.06,IF(J8&lt;2040,0.145,IF(J8&lt;2045,0.31,IF(J8&lt;2050,0.62,0.8)))))))))*(Vessel!$D$7*Fuel!$E$28*Fuel!$E$26)/Fuel!$E$27/Regulation!$D$16*Regulation!$D$15*Regulation!$D$18*Regulation!$D$8/1000000),0)</f>
        <v>0.2203520202724108</v>
      </c>
      <c r="K55" s="39">
        <f>IF(AND(8&lt;=Cargo!$D$15,Regulation!$D$14="Yes"),MAX(0,(Fuel!$E$27-Regulation!$D$17*(1-(IF(K8&lt;2025,0,IF(K8&lt;2030,0.02,IF(K8&lt;2035,0.06,IF(K8&lt;2040,0.145,IF(K8&lt;2045,0.31,IF(K8&lt;2050,0.62,0.8)))))))))*(Vessel!$D$7*Fuel!$E$28*Fuel!$E$26)/Fuel!$E$27/Regulation!$D$16*Regulation!$D$15*Regulation!$D$18*Regulation!$D$8/1000000),0)</f>
        <v>0.2203520202724108</v>
      </c>
      <c r="L55" s="39">
        <f>IF(AND(9&lt;=Cargo!$D$15,Regulation!$D$14="Yes"),MAX(0,(Fuel!$E$27-Regulation!$D$17*(1-(IF(L8&lt;2025,0,IF(L8&lt;2030,0.02,IF(L8&lt;2035,0.06,IF(L8&lt;2040,0.145,IF(L8&lt;2045,0.31,IF(L8&lt;2050,0.62,0.8)))))))))*(Vessel!$D$7*Fuel!$E$28*Fuel!$E$26)/Fuel!$E$27/Regulation!$D$16*Regulation!$D$15*Regulation!$D$18*Regulation!$D$8/1000000),0)</f>
        <v>0.4748261564776689</v>
      </c>
      <c r="M55" s="39">
        <f>IF(AND(10&lt;=Cargo!$D$15,Regulation!$D$14="Yes"),MAX(0,(Fuel!$E$27-Regulation!$D$17*(1-(IF(M8&lt;2025,0,IF(M8&lt;2030,0.02,IF(M8&lt;2035,0.06,IF(M8&lt;2040,0.145,IF(M8&lt;2045,0.31,IF(M8&lt;2050,0.62,0.8)))))))))*(Vessel!$D$7*Fuel!$E$28*Fuel!$E$26)/Fuel!$E$27/Regulation!$D$16*Regulation!$D$15*Regulation!$D$18*Regulation!$D$8/1000000),0)</f>
        <v>0.4748261564776689</v>
      </c>
      <c r="N55" s="39">
        <f>IF(AND(11&lt;=Cargo!$D$15,Regulation!$D$14="Yes"),MAX(0,(Fuel!$E$27-Regulation!$D$17*(1-(IF(N8&lt;2025,0,IF(N8&lt;2030,0.02,IF(N8&lt;2035,0.06,IF(N8&lt;2040,0.145,IF(N8&lt;2045,0.31,IF(N8&lt;2050,0.62,0.8)))))))))*(Vessel!$D$7*Fuel!$E$28*Fuel!$E$26)/Fuel!$E$27/Regulation!$D$16*Regulation!$D$15*Regulation!$D$18*Regulation!$D$8/1000000),0)</f>
        <v>0.4748261564776689</v>
      </c>
      <c r="O55" s="39">
        <f>IF(AND(12&lt;=Cargo!$D$15,Regulation!$D$14="Yes"),MAX(0,(Fuel!$E$27-Regulation!$D$17*(1-(IF(O8&lt;2025,0,IF(O8&lt;2030,0.02,IF(O8&lt;2035,0.06,IF(O8&lt;2040,0.145,IF(O8&lt;2045,0.31,IF(O8&lt;2050,0.62,0.8)))))))))*(Vessel!$D$7*Fuel!$E$28*Fuel!$E$26)/Fuel!$E$27/Regulation!$D$16*Regulation!$D$15*Regulation!$D$18*Regulation!$D$8/1000000),0)</f>
        <v>0.4748261564776689</v>
      </c>
      <c r="P55" s="39">
        <f>IF(AND(13&lt;=Cargo!$D$15,Regulation!$D$14="Yes"),MAX(0,(Fuel!$E$27-Regulation!$D$17*(1-(IF(P8&lt;2025,0,IF(P8&lt;2030,0.02,IF(P8&lt;2035,0.06,IF(P8&lt;2040,0.145,IF(P8&lt;2045,0.31,IF(P8&lt;2050,0.62,0.8)))))))))*(Vessel!$D$7*Fuel!$E$28*Fuel!$E$26)/Fuel!$E$27/Regulation!$D$16*Regulation!$D$15*Regulation!$D$18*Regulation!$D$8/1000000),0)</f>
        <v>0.4748261564776689</v>
      </c>
      <c r="Q55" s="39">
        <f>IF(AND(14&lt;=Cargo!$D$15,Regulation!$D$14="Yes"),MAX(0,(Fuel!$E$27-Regulation!$D$17*(1-(IF(Q8&lt;2025,0,IF(Q8&lt;2030,0.02,IF(Q8&lt;2035,0.06,IF(Q8&lt;2040,0.145,IF(Q8&lt;2045,0.31,IF(Q8&lt;2050,0.62,0.8)))))))))*(Vessel!$D$7*Fuel!$E$28*Fuel!$E$26)/Fuel!$E$27/Regulation!$D$16*Regulation!$D$15*Regulation!$D$18*Regulation!$D$8/1000000),0)</f>
        <v>0.96880536205258194</v>
      </c>
      <c r="R55" s="39">
        <f>IF(AND(15&lt;=Cargo!$D$15,Regulation!$D$14="Yes"),MAX(0,(Fuel!$E$27-Regulation!$D$17*(1-(IF(R8&lt;2025,0,IF(R8&lt;2030,0.02,IF(R8&lt;2035,0.06,IF(R8&lt;2040,0.145,IF(R8&lt;2045,0.31,IF(R8&lt;2050,0.62,0.8)))))))))*(Vessel!$D$7*Fuel!$E$28*Fuel!$E$26)/Fuel!$E$27/Regulation!$D$16*Regulation!$D$15*Regulation!$D$18*Regulation!$D$8/1000000),0)</f>
        <v>0.96880536205258194</v>
      </c>
      <c r="S55" s="39">
        <f>IF(AND(16&lt;=Cargo!$D$15,Regulation!$D$14="Yes"),MAX(0,(Fuel!$E$27-Regulation!$D$17*(1-(IF(S8&lt;2025,0,IF(S8&lt;2030,0.02,IF(S8&lt;2035,0.06,IF(S8&lt;2040,0.145,IF(S8&lt;2045,0.31,IF(S8&lt;2050,0.62,0.8)))))))))*(Vessel!$D$7*Fuel!$E$28*Fuel!$E$26)/Fuel!$E$27/Regulation!$D$16*Regulation!$D$15*Regulation!$D$18*Regulation!$D$8/1000000),0)</f>
        <v>0.96880536205258194</v>
      </c>
      <c r="T55" s="39">
        <f>IF(AND(17&lt;=Cargo!$D$15,Regulation!$D$14="Yes"),MAX(0,(Fuel!$E$27-Regulation!$D$17*(1-(IF(T8&lt;2025,0,IF(T8&lt;2030,0.02,IF(T8&lt;2035,0.06,IF(T8&lt;2040,0.145,IF(T8&lt;2045,0.31,IF(T8&lt;2050,0.62,0.8)))))))))*(Vessel!$D$7*Fuel!$E$28*Fuel!$E$26)/Fuel!$E$27/Regulation!$D$16*Regulation!$D$15*Regulation!$D$18*Regulation!$D$8/1000000),0)</f>
        <v>0.96880536205258194</v>
      </c>
      <c r="U55" s="39">
        <f>IF(AND(18&lt;=Cargo!$D$15,Regulation!$D$14="Yes"),MAX(0,(Fuel!$E$27-Regulation!$D$17*(1-(IF(U8&lt;2025,0,IF(U8&lt;2030,0.02,IF(U8&lt;2035,0.06,IF(U8&lt;2040,0.145,IF(U8&lt;2045,0.31,IF(U8&lt;2050,0.62,0.8)))))))))*(Vessel!$D$7*Fuel!$E$28*Fuel!$E$26)/Fuel!$E$27/Regulation!$D$16*Regulation!$D$15*Regulation!$D$18*Regulation!$D$8/1000000),0)</f>
        <v>0.96880536205258194</v>
      </c>
      <c r="V55" s="39">
        <f>IF(AND(19&lt;=Cargo!$D$15,Regulation!$D$14="Yes"),MAX(0,(Fuel!$E$27-Regulation!$D$17*(1-(IF(V8&lt;2025,0,IF(V8&lt;2030,0.02,IF(V8&lt;2035,0.06,IF(V8&lt;2040,0.145,IF(V8&lt;2045,0.31,IF(V8&lt;2050,0.62,0.8)))))))))*(Vessel!$D$7*Fuel!$E$28*Fuel!$E$26)/Fuel!$E$27/Regulation!$D$16*Regulation!$D$15*Regulation!$D$18*Regulation!$D$8/1000000),0)</f>
        <v>1.8968875058599941</v>
      </c>
      <c r="W55" s="39">
        <f>IF(AND(20&lt;=Cargo!$D$15,Regulation!$D$14="Yes"),MAX(0,(Fuel!$E$27-Regulation!$D$17*(1-(IF(W8&lt;2025,0,IF(W8&lt;2030,0.02,IF(W8&lt;2035,0.06,IF(W8&lt;2040,0.145,IF(W8&lt;2045,0.31,IF(W8&lt;2050,0.62,0.8)))))))))*(Vessel!$D$7*Fuel!$E$28*Fuel!$E$26)/Fuel!$E$27/Regulation!$D$16*Regulation!$D$15*Regulation!$D$18*Regulation!$D$8/1000000),0)</f>
        <v>1.8968875058599941</v>
      </c>
      <c r="X55" s="39">
        <f>IF(AND(21&lt;=Cargo!$D$15,Regulation!$D$14="Yes"),MAX(0,(Fuel!$E$27-Regulation!$D$17*(1-(IF(X8&lt;2025,0,IF(X8&lt;2030,0.02,IF(X8&lt;2035,0.06,IF(X8&lt;2040,0.145,IF(X8&lt;2045,0.31,IF(X8&lt;2050,0.62,0.8)))))))))*(Vessel!$D$7*Fuel!$E$28*Fuel!$E$26)/Fuel!$E$27/Regulation!$D$16*Regulation!$D$15*Regulation!$D$18*Regulation!$D$8/1000000),0)</f>
        <v>0</v>
      </c>
      <c r="Y55" s="39">
        <f>IF(AND(22&lt;=Cargo!$D$15,Regulation!$D$14="Yes"),MAX(0,(Fuel!$E$27-Regulation!$D$17*(1-(IF(Y8&lt;2025,0,IF(Y8&lt;2030,0.02,IF(Y8&lt;2035,0.06,IF(Y8&lt;2040,0.145,IF(Y8&lt;2045,0.31,IF(Y8&lt;2050,0.62,0.8)))))))))*(Vessel!$D$7*Fuel!$E$28*Fuel!$E$26)/Fuel!$E$27/Regulation!$D$16*Regulation!$D$15*Regulation!$D$18*Regulation!$D$8/1000000),0)</f>
        <v>0</v>
      </c>
      <c r="Z55" s="39">
        <f>IF(AND(23&lt;=Cargo!$D$15,Regulation!$D$14="Yes"),MAX(0,(Fuel!$E$27-Regulation!$D$17*(1-(IF(Z8&lt;2025,0,IF(Z8&lt;2030,0.02,IF(Z8&lt;2035,0.06,IF(Z8&lt;2040,0.145,IF(Z8&lt;2045,0.31,IF(Z8&lt;2050,0.62,0.8)))))))))*(Vessel!$D$7*Fuel!$E$28*Fuel!$E$26)/Fuel!$E$27/Regulation!$D$16*Regulation!$D$15*Regulation!$D$18*Regulation!$D$8/1000000),0)</f>
        <v>0</v>
      </c>
      <c r="AA55" s="39">
        <f>IF(AND(24&lt;=Cargo!$D$15,Regulation!$D$14="Yes"),MAX(0,(Fuel!$E$27-Regulation!$D$17*(1-(IF(AA8&lt;2025,0,IF(AA8&lt;2030,0.02,IF(AA8&lt;2035,0.06,IF(AA8&lt;2040,0.145,IF(AA8&lt;2045,0.31,IF(AA8&lt;2050,0.62,0.8)))))))))*(Vessel!$D$7*Fuel!$E$28*Fuel!$E$26)/Fuel!$E$27/Regulation!$D$16*Regulation!$D$15*Regulation!$D$18*Regulation!$D$8/1000000),0)</f>
        <v>0</v>
      </c>
      <c r="AB55" s="39">
        <f>IF(AND(25&lt;=Cargo!$D$15,Regulation!$D$14="Yes"),MAX(0,(Fuel!$E$27-Regulation!$D$17*(1-(IF(AB8&lt;2025,0,IF(AB8&lt;2030,0.02,IF(AB8&lt;2035,0.06,IF(AB8&lt;2040,0.145,IF(AB8&lt;2045,0.31,IF(AB8&lt;2050,0.62,0.8)))))))))*(Vessel!$D$7*Fuel!$E$28*Fuel!$E$26)/Fuel!$E$27/Regulation!$D$16*Regulation!$D$15*Regulation!$D$18*Regulation!$D$8/1000000),0)</f>
        <v>0</v>
      </c>
      <c r="AC55" s="39">
        <f>IF(AND(26&lt;=Cargo!$D$15,Regulation!$D$14="Yes"),MAX(0,(Fuel!$E$27-Regulation!$D$17*(1-(IF(AC8&lt;2025,0,IF(AC8&lt;2030,0.02,IF(AC8&lt;2035,0.06,IF(AC8&lt;2040,0.145,IF(AC8&lt;2045,0.31,IF(AC8&lt;2050,0.62,0.8)))))))))*(Vessel!$D$7*Fuel!$E$28*Fuel!$E$26)/Fuel!$E$27/Regulation!$D$16*Regulation!$D$15*Regulation!$D$18*Regulation!$D$8/1000000),0)</f>
        <v>0</v>
      </c>
      <c r="AD55" s="39">
        <f>IF(AND(27&lt;=Cargo!$D$15,Regulation!$D$14="Yes"),MAX(0,(Fuel!$E$27-Regulation!$D$17*(1-(IF(AD8&lt;2025,0,IF(AD8&lt;2030,0.02,IF(AD8&lt;2035,0.06,IF(AD8&lt;2040,0.145,IF(AD8&lt;2045,0.31,IF(AD8&lt;2050,0.62,0.8)))))))))*(Vessel!$D$7*Fuel!$E$28*Fuel!$E$26)/Fuel!$E$27/Regulation!$D$16*Regulation!$D$15*Regulation!$D$18*Regulation!$D$8/1000000),0)</f>
        <v>0</v>
      </c>
      <c r="AE55" s="39">
        <f>IF(AND(28&lt;=Cargo!$D$15,Regulation!$D$14="Yes"),MAX(0,(Fuel!$E$27-Regulation!$D$17*(1-(IF(AE8&lt;2025,0,IF(AE8&lt;2030,0.02,IF(AE8&lt;2035,0.06,IF(AE8&lt;2040,0.145,IF(AE8&lt;2045,0.31,IF(AE8&lt;2050,0.62,0.8)))))))))*(Vessel!$D$7*Fuel!$E$28*Fuel!$E$26)/Fuel!$E$27/Regulation!$D$16*Regulation!$D$15*Regulation!$D$18*Regulation!$D$8/1000000),0)</f>
        <v>0</v>
      </c>
      <c r="AF55" s="39">
        <f>IF(AND(29&lt;=Cargo!$D$15,Regulation!$D$14="Yes"),MAX(0,(Fuel!$E$27-Regulation!$D$17*(1-(IF(AF8&lt;2025,0,IF(AF8&lt;2030,0.02,IF(AF8&lt;2035,0.06,IF(AF8&lt;2040,0.145,IF(AF8&lt;2045,0.31,IF(AF8&lt;2050,0.62,0.8)))))))))*(Vessel!$D$7*Fuel!$E$28*Fuel!$E$26)/Fuel!$E$27/Regulation!$D$16*Regulation!$D$15*Regulation!$D$18*Regulation!$D$8/1000000),0)</f>
        <v>0</v>
      </c>
      <c r="AG55" s="39">
        <f>IF(AND(30&lt;=Cargo!$D$15,Regulation!$D$14="Yes"),MAX(0,(Fuel!$E$27-Regulation!$D$17*(1-(IF(AG8&lt;2025,0,IF(AG8&lt;2030,0.02,IF(AG8&lt;2035,0.06,IF(AG8&lt;2040,0.145,IF(AG8&lt;2045,0.31,IF(AG8&lt;2050,0.62,0.8)))))))))*(Vessel!$D$7*Fuel!$E$28*Fuel!$E$26)/Fuel!$E$27/Regulation!$D$16*Regulation!$D$15*Regulation!$D$18*Regulation!$D$8/1000000),0)</f>
        <v>0</v>
      </c>
      <c r="AH55" s="39">
        <f>IF(AND(31&lt;=Cargo!$D$15,Regulation!$D$14="Yes"),MAX(0,(Fuel!$E$27-Regulation!$D$17*(1-(IF(AH8&lt;2025,0,IF(AH8&lt;2030,0.02,IF(AH8&lt;2035,0.06,IF(AH8&lt;2040,0.145,IF(AH8&lt;2045,0.31,IF(AH8&lt;2050,0.62,0.8)))))))))*(Vessel!$D$7*Fuel!$E$28*Fuel!$E$26)/Fuel!$E$27/Regulation!$D$16*Regulation!$D$15*Regulation!$D$18*Regulation!$D$8/1000000),0)</f>
        <v>0</v>
      </c>
      <c r="AI55" s="39">
        <f>IF(AND(32&lt;=Cargo!$D$15,Regulation!$D$14="Yes"),MAX(0,(Fuel!$E$27-Regulation!$D$17*(1-(IF(AI8&lt;2025,0,IF(AI8&lt;2030,0.02,IF(AI8&lt;2035,0.06,IF(AI8&lt;2040,0.145,IF(AI8&lt;2045,0.31,IF(AI8&lt;2050,0.62,0.8)))))))))*(Vessel!$D$7*Fuel!$E$28*Fuel!$E$26)/Fuel!$E$27/Regulation!$D$16*Regulation!$D$15*Regulation!$D$18*Regulation!$D$8/1000000),0)</f>
        <v>0</v>
      </c>
      <c r="AJ55" s="39">
        <f>IF(AND(33&lt;=Cargo!$D$15,Regulation!$D$14="Yes"),MAX(0,(Fuel!$E$27-Regulation!$D$17*(1-(IF(AJ8&lt;2025,0,IF(AJ8&lt;2030,0.02,IF(AJ8&lt;2035,0.06,IF(AJ8&lt;2040,0.145,IF(AJ8&lt;2045,0.31,IF(AJ8&lt;2050,0.62,0.8)))))))))*(Vessel!$D$7*Fuel!$E$28*Fuel!$E$26)/Fuel!$E$27/Regulation!$D$16*Regulation!$D$15*Regulation!$D$18*Regulation!$D$8/1000000),0)</f>
        <v>0</v>
      </c>
      <c r="AK55" s="39">
        <f>IF(AND(34&lt;=Cargo!$D$15,Regulation!$D$14="Yes"),MAX(0,(Fuel!$E$27-Regulation!$D$17*(1-(IF(AK8&lt;2025,0,IF(AK8&lt;2030,0.02,IF(AK8&lt;2035,0.06,IF(AK8&lt;2040,0.145,IF(AK8&lt;2045,0.31,IF(AK8&lt;2050,0.62,0.8)))))))))*(Vessel!$D$7*Fuel!$E$28*Fuel!$E$26)/Fuel!$E$27/Regulation!$D$16*Regulation!$D$15*Regulation!$D$18*Regulation!$D$8/1000000),0)</f>
        <v>0</v>
      </c>
      <c r="AL55" s="39">
        <f>IF(AND(35&lt;=Cargo!$D$15,Regulation!$D$14="Yes"),MAX(0,(Fuel!$E$27-Regulation!$D$17*(1-(IF(AL8&lt;2025,0,IF(AL8&lt;2030,0.02,IF(AL8&lt;2035,0.06,IF(AL8&lt;2040,0.145,IF(AL8&lt;2045,0.31,IF(AL8&lt;2050,0.62,0.8)))))))))*(Vessel!$D$7*Fuel!$E$28*Fuel!$E$26)/Fuel!$E$27/Regulation!$D$16*Regulation!$D$15*Regulation!$D$18*Regulation!$D$8/1000000),0)</f>
        <v>0</v>
      </c>
      <c r="AM55" s="39">
        <f>IF(AND(36&lt;=Cargo!$D$15,Regulation!$D$14="Yes"),MAX(0,(Fuel!$E$27-Regulation!$D$17*(1-(IF(AM8&lt;2025,0,IF(AM8&lt;2030,0.02,IF(AM8&lt;2035,0.06,IF(AM8&lt;2040,0.145,IF(AM8&lt;2045,0.31,IF(AM8&lt;2050,0.62,0.8)))))))))*(Vessel!$D$7*Fuel!$E$28*Fuel!$E$26)/Fuel!$E$27/Regulation!$D$16*Regulation!$D$15*Regulation!$D$18*Regulation!$D$8/1000000),0)</f>
        <v>0</v>
      </c>
      <c r="AN55" s="39">
        <f>IF(AND(37&lt;=Cargo!$D$15,Regulation!$D$14="Yes"),MAX(0,(Fuel!$E$27-Regulation!$D$17*(1-(IF(AN8&lt;2025,0,IF(AN8&lt;2030,0.02,IF(AN8&lt;2035,0.06,IF(AN8&lt;2040,0.145,IF(AN8&lt;2045,0.31,IF(AN8&lt;2050,0.62,0.8)))))))))*(Vessel!$D$7*Fuel!$E$28*Fuel!$E$26)/Fuel!$E$27/Regulation!$D$16*Regulation!$D$15*Regulation!$D$18*Regulation!$D$8/1000000),0)</f>
        <v>0</v>
      </c>
      <c r="AO55" s="39">
        <f>IF(AND(38&lt;=Cargo!$D$15,Regulation!$D$14="Yes"),MAX(0,(Fuel!$E$27-Regulation!$D$17*(1-(IF(AO8&lt;2025,0,IF(AO8&lt;2030,0.02,IF(AO8&lt;2035,0.06,IF(AO8&lt;2040,0.145,IF(AO8&lt;2045,0.31,IF(AO8&lt;2050,0.62,0.8)))))))))*(Vessel!$D$7*Fuel!$E$28*Fuel!$E$26)/Fuel!$E$27/Regulation!$D$16*Regulation!$D$15*Regulation!$D$18*Regulation!$D$8/1000000),0)</f>
        <v>0</v>
      </c>
      <c r="AP55" s="39">
        <f>IF(AND(39&lt;=Cargo!$D$15,Regulation!$D$14="Yes"),MAX(0,(Fuel!$E$27-Regulation!$D$17*(1-(IF(AP8&lt;2025,0,IF(AP8&lt;2030,0.02,IF(AP8&lt;2035,0.06,IF(AP8&lt;2040,0.145,IF(AP8&lt;2045,0.31,IF(AP8&lt;2050,0.62,0.8)))))))))*(Vessel!$D$7*Fuel!$E$28*Fuel!$E$26)/Fuel!$E$27/Regulation!$D$16*Regulation!$D$15*Regulation!$D$18*Regulation!$D$8/1000000),0)</f>
        <v>0</v>
      </c>
      <c r="AQ55" s="39">
        <f>IF(AND(40&lt;=Cargo!$D$15,Regulation!$D$14="Yes"),MAX(0,(Fuel!$E$27-Regulation!$D$17*(1-(IF(AQ8&lt;2025,0,IF(AQ8&lt;2030,0.02,IF(AQ8&lt;2035,0.06,IF(AQ8&lt;2040,0.145,IF(AQ8&lt;2045,0.31,IF(AQ8&lt;2050,0.62,0.8)))))))))*(Vessel!$D$7*Fuel!$E$28*Fuel!$E$26)/Fuel!$E$27/Regulation!$D$16*Regulation!$D$15*Regulation!$D$18*Regulation!$D$8/1000000),0)</f>
        <v>0</v>
      </c>
    </row>
    <row r="56" spans="2:43" ht="15" customHeight="1" x14ac:dyDescent="0.45">
      <c r="B56" s="38" t="s">
        <v>124</v>
      </c>
      <c r="D56" s="39">
        <f>IF(AND(1&lt;=Cargo!$D$15,Regulation!$D$31="Yes"),Vessel!$D$7*Fuel!$E$28*Fuel!$E$25*Regulation!$D$32/1000000,0)</f>
        <v>0</v>
      </c>
      <c r="E56" s="39">
        <f>IF(AND(2&lt;=Cargo!$D$15,Regulation!$D$31="Yes"),Vessel!$D$7*Fuel!$E$28*Fuel!$E$25*Regulation!$D$32/1000000,0)</f>
        <v>0</v>
      </c>
      <c r="F56" s="39">
        <f>IF(AND(3&lt;=Cargo!$D$15,Regulation!$D$31="Yes"),Vessel!$D$7*Fuel!$E$28*Fuel!$E$25*Regulation!$D$32/1000000,0)</f>
        <v>0</v>
      </c>
      <c r="G56" s="39">
        <f>IF(AND(4&lt;=Cargo!$D$15,Regulation!$D$31="Yes"),Vessel!$D$7*Fuel!$E$28*Fuel!$E$25*Regulation!$D$32/1000000,0)</f>
        <v>0</v>
      </c>
      <c r="H56" s="39">
        <f>IF(AND(5&lt;=Cargo!$D$15,Regulation!$D$31="Yes"),Vessel!$D$7*Fuel!$E$28*Fuel!$E$25*Regulation!$D$32/1000000,0)</f>
        <v>0</v>
      </c>
      <c r="I56" s="39">
        <f>IF(AND(6&lt;=Cargo!$D$15,Regulation!$D$31="Yes"),Vessel!$D$7*Fuel!$E$28*Fuel!$E$25*Regulation!$D$32/1000000,0)</f>
        <v>0</v>
      </c>
      <c r="J56" s="39">
        <f>IF(AND(7&lt;=Cargo!$D$15,Regulation!$D$31="Yes"),Vessel!$D$7*Fuel!$E$28*Fuel!$E$25*Regulation!$D$32/1000000,0)</f>
        <v>0</v>
      </c>
      <c r="K56" s="39">
        <f>IF(AND(8&lt;=Cargo!$D$15,Regulation!$D$31="Yes"),Vessel!$D$7*Fuel!$E$28*Fuel!$E$25*Regulation!$D$32/1000000,0)</f>
        <v>0</v>
      </c>
      <c r="L56" s="39">
        <f>IF(AND(9&lt;=Cargo!$D$15,Regulation!$D$31="Yes"),Vessel!$D$7*Fuel!$E$28*Fuel!$E$25*Regulation!$D$32/1000000,0)</f>
        <v>0</v>
      </c>
      <c r="M56" s="39">
        <f>IF(AND(10&lt;=Cargo!$D$15,Regulation!$D$31="Yes"),Vessel!$D$7*Fuel!$E$28*Fuel!$E$25*Regulation!$D$32/1000000,0)</f>
        <v>0</v>
      </c>
      <c r="N56" s="39">
        <f>IF(AND(11&lt;=Cargo!$D$15,Regulation!$D$31="Yes"),Vessel!$D$7*Fuel!$E$28*Fuel!$E$25*Regulation!$D$32/1000000,0)</f>
        <v>0</v>
      </c>
      <c r="O56" s="39">
        <f>IF(AND(12&lt;=Cargo!$D$15,Regulation!$D$31="Yes"),Vessel!$D$7*Fuel!$E$28*Fuel!$E$25*Regulation!$D$32/1000000,0)</f>
        <v>0</v>
      </c>
      <c r="P56" s="39">
        <f>IF(AND(13&lt;=Cargo!$D$15,Regulation!$D$31="Yes"),Vessel!$D$7*Fuel!$E$28*Fuel!$E$25*Regulation!$D$32/1000000,0)</f>
        <v>0</v>
      </c>
      <c r="Q56" s="39">
        <f>IF(AND(14&lt;=Cargo!$D$15,Regulation!$D$31="Yes"),Vessel!$D$7*Fuel!$E$28*Fuel!$E$25*Regulation!$D$32/1000000,0)</f>
        <v>0</v>
      </c>
      <c r="R56" s="39">
        <f>IF(AND(15&lt;=Cargo!$D$15,Regulation!$D$31="Yes"),Vessel!$D$7*Fuel!$E$28*Fuel!$E$25*Regulation!$D$32/1000000,0)</f>
        <v>0</v>
      </c>
      <c r="S56" s="39">
        <f>IF(AND(16&lt;=Cargo!$D$15,Regulation!$D$31="Yes"),Vessel!$D$7*Fuel!$E$28*Fuel!$E$25*Regulation!$D$32/1000000,0)</f>
        <v>0</v>
      </c>
      <c r="T56" s="39">
        <f>IF(AND(17&lt;=Cargo!$D$15,Regulation!$D$31="Yes"),Vessel!$D$7*Fuel!$E$28*Fuel!$E$25*Regulation!$D$32/1000000,0)</f>
        <v>0</v>
      </c>
      <c r="U56" s="39">
        <f>IF(AND(18&lt;=Cargo!$D$15,Regulation!$D$31="Yes"),Vessel!$D$7*Fuel!$E$28*Fuel!$E$25*Regulation!$D$32/1000000,0)</f>
        <v>0</v>
      </c>
      <c r="V56" s="39">
        <f>IF(AND(19&lt;=Cargo!$D$15,Regulation!$D$31="Yes"),Vessel!$D$7*Fuel!$E$28*Fuel!$E$25*Regulation!$D$32/1000000,0)</f>
        <v>0</v>
      </c>
      <c r="W56" s="39">
        <f>IF(AND(20&lt;=Cargo!$D$15,Regulation!$D$31="Yes"),Vessel!$D$7*Fuel!$E$28*Fuel!$E$25*Regulation!$D$32/1000000,0)</f>
        <v>0</v>
      </c>
      <c r="X56" s="39">
        <f>IF(AND(21&lt;=Cargo!$D$15,Regulation!$D$31="Yes"),Vessel!$D$7*Fuel!$E$28*Fuel!$E$25*Regulation!$D$32/1000000,0)</f>
        <v>0</v>
      </c>
      <c r="Y56" s="39">
        <f>IF(AND(22&lt;=Cargo!$D$15,Regulation!$D$31="Yes"),Vessel!$D$7*Fuel!$E$28*Fuel!$E$25*Regulation!$D$32/1000000,0)</f>
        <v>0</v>
      </c>
      <c r="Z56" s="39">
        <f>IF(AND(23&lt;=Cargo!$D$15,Regulation!$D$31="Yes"),Vessel!$D$7*Fuel!$E$28*Fuel!$E$25*Regulation!$D$32/1000000,0)</f>
        <v>0</v>
      </c>
      <c r="AA56" s="39">
        <f>IF(AND(24&lt;=Cargo!$D$15,Regulation!$D$31="Yes"),Vessel!$D$7*Fuel!$E$28*Fuel!$E$25*Regulation!$D$32/1000000,0)</f>
        <v>0</v>
      </c>
      <c r="AB56" s="39">
        <f>IF(AND(25&lt;=Cargo!$D$15,Regulation!$D$31="Yes"),Vessel!$D$7*Fuel!$E$28*Fuel!$E$25*Regulation!$D$32/1000000,0)</f>
        <v>0</v>
      </c>
      <c r="AC56" s="39">
        <f>IF(AND(26&lt;=Cargo!$D$15,Regulation!$D$31="Yes"),Vessel!$D$7*Fuel!$E$28*Fuel!$E$25*Regulation!$D$32/1000000,0)</f>
        <v>0</v>
      </c>
      <c r="AD56" s="39">
        <f>IF(AND(27&lt;=Cargo!$D$15,Regulation!$D$31="Yes"),Vessel!$D$7*Fuel!$E$28*Fuel!$E$25*Regulation!$D$32/1000000,0)</f>
        <v>0</v>
      </c>
      <c r="AE56" s="39">
        <f>IF(AND(28&lt;=Cargo!$D$15,Regulation!$D$31="Yes"),Vessel!$D$7*Fuel!$E$28*Fuel!$E$25*Regulation!$D$32/1000000,0)</f>
        <v>0</v>
      </c>
      <c r="AF56" s="39">
        <f>IF(AND(29&lt;=Cargo!$D$15,Regulation!$D$31="Yes"),Vessel!$D$7*Fuel!$E$28*Fuel!$E$25*Regulation!$D$32/1000000,0)</f>
        <v>0</v>
      </c>
      <c r="AG56" s="39">
        <f>IF(AND(30&lt;=Cargo!$D$15,Regulation!$D$31="Yes"),Vessel!$D$7*Fuel!$E$28*Fuel!$E$25*Regulation!$D$32/1000000,0)</f>
        <v>0</v>
      </c>
      <c r="AH56" s="39">
        <f>IF(AND(31&lt;=Cargo!$D$15,Regulation!$D$31="Yes"),Vessel!$D$7*Fuel!$E$28*Fuel!$E$25*Regulation!$D$32/1000000,0)</f>
        <v>0</v>
      </c>
      <c r="AI56" s="39">
        <f>IF(AND(32&lt;=Cargo!$D$15,Regulation!$D$31="Yes"),Vessel!$D$7*Fuel!$E$28*Fuel!$E$25*Regulation!$D$32/1000000,0)</f>
        <v>0</v>
      </c>
      <c r="AJ56" s="39">
        <f>IF(AND(33&lt;=Cargo!$D$15,Regulation!$D$31="Yes"),Vessel!$D$7*Fuel!$E$28*Fuel!$E$25*Regulation!$D$32/1000000,0)</f>
        <v>0</v>
      </c>
      <c r="AK56" s="39">
        <f>IF(AND(34&lt;=Cargo!$D$15,Regulation!$D$31="Yes"),Vessel!$D$7*Fuel!$E$28*Fuel!$E$25*Regulation!$D$32/1000000,0)</f>
        <v>0</v>
      </c>
      <c r="AL56" s="39">
        <f>IF(AND(35&lt;=Cargo!$D$15,Regulation!$D$31="Yes"),Vessel!$D$7*Fuel!$E$28*Fuel!$E$25*Regulation!$D$32/1000000,0)</f>
        <v>0</v>
      </c>
      <c r="AM56" s="39">
        <f>IF(AND(36&lt;=Cargo!$D$15,Regulation!$D$31="Yes"),Vessel!$D$7*Fuel!$E$28*Fuel!$E$25*Regulation!$D$32/1000000,0)</f>
        <v>0</v>
      </c>
      <c r="AN56" s="39">
        <f>IF(AND(37&lt;=Cargo!$D$15,Regulation!$D$31="Yes"),Vessel!$D$7*Fuel!$E$28*Fuel!$E$25*Regulation!$D$32/1000000,0)</f>
        <v>0</v>
      </c>
      <c r="AO56" s="39">
        <f>IF(AND(38&lt;=Cargo!$D$15,Regulation!$D$31="Yes"),Vessel!$D$7*Fuel!$E$28*Fuel!$E$25*Regulation!$D$32/1000000,0)</f>
        <v>0</v>
      </c>
      <c r="AP56" s="39">
        <f>IF(AND(39&lt;=Cargo!$D$15,Regulation!$D$31="Yes"),Vessel!$D$7*Fuel!$E$28*Fuel!$E$25*Regulation!$D$32/1000000,0)</f>
        <v>0</v>
      </c>
      <c r="AQ56" s="39">
        <f>IF(AND(40&lt;=Cargo!$D$15,Regulation!$D$31="Yes"),Vessel!$D$7*Fuel!$E$28*Fuel!$E$25*Regulation!$D$32/1000000,0)</f>
        <v>0</v>
      </c>
    </row>
    <row r="57" spans="2:43" ht="15" customHeight="1" x14ac:dyDescent="0.45">
      <c r="B57" s="38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</row>
    <row r="58" spans="2:43" ht="15" customHeight="1" x14ac:dyDescent="0.45">
      <c r="B58" s="34" t="s">
        <v>125</v>
      </c>
      <c r="D58" s="41">
        <f t="shared" ref="D58:AQ58" si="6">+D51+D52+D54+D55+D56</f>
        <v>2.3502950079756433</v>
      </c>
      <c r="E58" s="41">
        <f t="shared" si="6"/>
        <v>2.3884800826025088</v>
      </c>
      <c r="F58" s="41">
        <f t="shared" si="6"/>
        <v>2.4274288587219117</v>
      </c>
      <c r="G58" s="41">
        <f t="shared" si="6"/>
        <v>2.5869091450485304</v>
      </c>
      <c r="H58" s="41">
        <f t="shared" si="6"/>
        <v>2.6274314517231572</v>
      </c>
      <c r="I58" s="41">
        <f t="shared" si="6"/>
        <v>2.6687642045312767</v>
      </c>
      <c r="J58" s="41">
        <f t="shared" si="6"/>
        <v>2.7109236123955585</v>
      </c>
      <c r="K58" s="41">
        <f t="shared" si="6"/>
        <v>2.7539262084171257</v>
      </c>
      <c r="L58" s="41">
        <f t="shared" si="6"/>
        <v>3.0522629925643825</v>
      </c>
      <c r="M58" s="41">
        <f t="shared" si="6"/>
        <v>3.0970028934652207</v>
      </c>
      <c r="N58" s="41">
        <f t="shared" si="6"/>
        <v>3.1426375923840766</v>
      </c>
      <c r="O58" s="41">
        <f t="shared" si="6"/>
        <v>3.189184985281309</v>
      </c>
      <c r="P58" s="41">
        <f t="shared" si="6"/>
        <v>3.2366633260364863</v>
      </c>
      <c r="Q58" s="41">
        <f t="shared" si="6"/>
        <v>3.7790704391816803</v>
      </c>
      <c r="R58" s="41">
        <f t="shared" si="6"/>
        <v>3.8284669049033671</v>
      </c>
      <c r="S58" s="41">
        <f t="shared" si="6"/>
        <v>3.8788512999394866</v>
      </c>
      <c r="T58" s="41">
        <f t="shared" si="6"/>
        <v>3.9302433828763297</v>
      </c>
      <c r="U58" s="41">
        <f t="shared" si="6"/>
        <v>3.9826633074719089</v>
      </c>
      <c r="V58" s="41">
        <f t="shared" si="6"/>
        <v>4.9642137743668124</v>
      </c>
      <c r="W58" s="41">
        <f t="shared" si="6"/>
        <v>5.0187514639160531</v>
      </c>
      <c r="X58" s="41">
        <f t="shared" si="6"/>
        <v>0</v>
      </c>
      <c r="Y58" s="41">
        <f t="shared" si="6"/>
        <v>0</v>
      </c>
      <c r="Z58" s="41">
        <f t="shared" si="6"/>
        <v>0</v>
      </c>
      <c r="AA58" s="41">
        <f t="shared" si="6"/>
        <v>0</v>
      </c>
      <c r="AB58" s="41">
        <f t="shared" si="6"/>
        <v>0</v>
      </c>
      <c r="AC58" s="41">
        <f t="shared" si="6"/>
        <v>0</v>
      </c>
      <c r="AD58" s="41">
        <f t="shared" si="6"/>
        <v>0</v>
      </c>
      <c r="AE58" s="41">
        <f t="shared" si="6"/>
        <v>0</v>
      </c>
      <c r="AF58" s="41">
        <f t="shared" si="6"/>
        <v>0</v>
      </c>
      <c r="AG58" s="41">
        <f t="shared" si="6"/>
        <v>0</v>
      </c>
      <c r="AH58" s="41">
        <f t="shared" si="6"/>
        <v>0</v>
      </c>
      <c r="AI58" s="41">
        <f t="shared" si="6"/>
        <v>0</v>
      </c>
      <c r="AJ58" s="41">
        <f t="shared" si="6"/>
        <v>0</v>
      </c>
      <c r="AK58" s="41">
        <f t="shared" si="6"/>
        <v>0</v>
      </c>
      <c r="AL58" s="41">
        <f t="shared" si="6"/>
        <v>0</v>
      </c>
      <c r="AM58" s="41">
        <f t="shared" si="6"/>
        <v>0</v>
      </c>
      <c r="AN58" s="41">
        <f t="shared" si="6"/>
        <v>0</v>
      </c>
      <c r="AO58" s="41">
        <f t="shared" si="6"/>
        <v>0</v>
      </c>
      <c r="AP58" s="41">
        <f t="shared" si="6"/>
        <v>0</v>
      </c>
      <c r="AQ58" s="41">
        <f t="shared" si="6"/>
        <v>0</v>
      </c>
    </row>
    <row r="59" spans="2:43" ht="14.25" customHeight="1" x14ac:dyDescent="0.45">
      <c r="B59" s="38" t="s">
        <v>126</v>
      </c>
      <c r="D59" s="42">
        <f>1/(1+Cargo!$E$17)^(1-1)</f>
        <v>1</v>
      </c>
      <c r="E59" s="42">
        <f>1/(1+Cargo!$E$17)^(2-1)</f>
        <v>0.94786729857819907</v>
      </c>
      <c r="F59" s="42">
        <f>1/(1+Cargo!$E$17)^(3-1)</f>
        <v>0.89845241571393286</v>
      </c>
      <c r="G59" s="42">
        <f>1/(1+Cargo!$E$17)^(4-1)</f>
        <v>0.85161366418382267</v>
      </c>
      <c r="H59" s="42">
        <f>1/(1+Cargo!$E$17)^(5-1)</f>
        <v>0.80721674330220161</v>
      </c>
      <c r="I59" s="42">
        <f>1/(1+Cargo!$E$17)^(6-1)</f>
        <v>0.76513435384094941</v>
      </c>
      <c r="J59" s="42">
        <f>1/(1+Cargo!$E$17)^(7-1)</f>
        <v>0.72524583302459655</v>
      </c>
      <c r="K59" s="42">
        <f>1/(1+Cargo!$E$17)^(8-1)</f>
        <v>0.68743680855412004</v>
      </c>
      <c r="L59" s="42">
        <f>1/(1+Cargo!$E$17)^(9-1)</f>
        <v>0.6515988706674124</v>
      </c>
      <c r="M59" s="42">
        <f>1/(1+Cargo!$E$17)^(10-1)</f>
        <v>0.6176292612961255</v>
      </c>
      <c r="N59" s="42">
        <f>1/(1+Cargo!$E$17)^(11-1)</f>
        <v>0.58543057942760712</v>
      </c>
      <c r="O59" s="42">
        <f>1/(1+Cargo!$E$17)^(12-1)</f>
        <v>0.55491050182711577</v>
      </c>
      <c r="P59" s="42">
        <f>1/(1+Cargo!$E$17)^(13-1)</f>
        <v>0.5259815183195411</v>
      </c>
      <c r="Q59" s="42">
        <f>1/(1+Cargo!$E$17)^(14-1)</f>
        <v>0.49856068087160293</v>
      </c>
      <c r="R59" s="42">
        <f>1/(1+Cargo!$E$17)^(15-1)</f>
        <v>0.47256936575507386</v>
      </c>
      <c r="S59" s="42">
        <f>1/(1+Cargo!$E$17)^(16-1)</f>
        <v>0.44793304810907481</v>
      </c>
      <c r="T59" s="42">
        <f>1/(1+Cargo!$E$17)^(17-1)</f>
        <v>0.4245810882550472</v>
      </c>
      <c r="U59" s="42">
        <f>1/(1+Cargo!$E$17)^(18-1)</f>
        <v>0.40244652915170354</v>
      </c>
      <c r="V59" s="42">
        <f>1/(1+Cargo!$E$17)^(19-1)</f>
        <v>0.38146590440919764</v>
      </c>
      <c r="W59" s="42">
        <f>1/(1+Cargo!$E$17)^(20-1)</f>
        <v>0.36157905631203574</v>
      </c>
      <c r="X59" s="42">
        <f>1/(1+Cargo!$E$17)^(21-1)</f>
        <v>0.34272896332894381</v>
      </c>
      <c r="Y59" s="42">
        <f>1/(1+Cargo!$E$17)^(22-1)</f>
        <v>0.32486157661511261</v>
      </c>
      <c r="Z59" s="42">
        <f>1/(1+Cargo!$E$17)^(23-1)</f>
        <v>0.30792566503802149</v>
      </c>
      <c r="AA59" s="42">
        <f>1/(1+Cargo!$E$17)^(24-1)</f>
        <v>0.29187266828248482</v>
      </c>
      <c r="AB59" s="42">
        <f>1/(1+Cargo!$E$17)^(25-1)</f>
        <v>0.2766565576137297</v>
      </c>
      <c r="AC59" s="42">
        <f>1/(1+Cargo!$E$17)^(26-1)</f>
        <v>0.26223370389926987</v>
      </c>
      <c r="AD59" s="42">
        <f>1/(1+Cargo!$E$17)^(27-1)</f>
        <v>0.24856275251115625</v>
      </c>
      <c r="AE59" s="42">
        <f>1/(1+Cargo!$E$17)^(28-1)</f>
        <v>0.23560450474991115</v>
      </c>
      <c r="AF59" s="42">
        <f>1/(1+Cargo!$E$17)^(29-1)</f>
        <v>0.22332180545015276</v>
      </c>
      <c r="AG59" s="42">
        <f>1/(1+Cargo!$E$17)^(30-1)</f>
        <v>0.21167943644564247</v>
      </c>
      <c r="AH59" s="42">
        <f>1/(1+Cargo!$E$17)^(31-1)</f>
        <v>0.20064401558828671</v>
      </c>
      <c r="AI59" s="42">
        <f>1/(1+Cargo!$E$17)^(32-1)</f>
        <v>0.19018390103155139</v>
      </c>
      <c r="AJ59" s="42">
        <f>1/(1+Cargo!$E$17)^(33-1)</f>
        <v>0.18026910050384018</v>
      </c>
      <c r="AK59" s="42">
        <f>1/(1+Cargo!$E$17)^(34-1)</f>
        <v>0.17087118531169684</v>
      </c>
      <c r="AL59" s="42">
        <f>1/(1+Cargo!$E$17)^(35-1)</f>
        <v>0.16196320882625295</v>
      </c>
      <c r="AM59" s="42">
        <f>1/(1+Cargo!$E$17)^(36-1)</f>
        <v>0.15351962921919712</v>
      </c>
      <c r="AN59" s="42">
        <f>1/(1+Cargo!$E$17)^(37-1)</f>
        <v>0.14551623622672713</v>
      </c>
      <c r="AO59" s="42">
        <f>1/(1+Cargo!$E$17)^(38-1)</f>
        <v>0.1379300817314949</v>
      </c>
      <c r="AP59" s="42">
        <f>1/(1+Cargo!$E$17)^(39-1)</f>
        <v>0.1307394139635023</v>
      </c>
      <c r="AQ59" s="42">
        <f>1/(1+Cargo!$E$17)^(40-1)</f>
        <v>0.12392361513128179</v>
      </c>
    </row>
    <row r="60" spans="2:43" ht="15" customHeight="1" x14ac:dyDescent="0.45">
      <c r="B60" s="34" t="s">
        <v>127</v>
      </c>
      <c r="D60" s="41">
        <f t="shared" ref="D60:AQ60" si="7">+D58*D59</f>
        <v>2.3502950079756433</v>
      </c>
      <c r="E60" s="41">
        <f t="shared" si="7"/>
        <v>2.2639621636042739</v>
      </c>
      <c r="F60" s="41">
        <f t="shared" si="7"/>
        <v>2.1809293220924166</v>
      </c>
      <c r="G60" s="41">
        <f t="shared" si="7"/>
        <v>2.2030471759254189</v>
      </c>
      <c r="H60" s="41">
        <f t="shared" si="7"/>
        <v>2.1209066597097426</v>
      </c>
      <c r="I60" s="41">
        <f t="shared" si="7"/>
        <v>2.0419631751878939</v>
      </c>
      <c r="J60" s="41">
        <f t="shared" si="7"/>
        <v>1.9660860535378653</v>
      </c>
      <c r="K60" s="41">
        <f t="shared" si="7"/>
        <v>1.8931502437078174</v>
      </c>
      <c r="L60" s="41">
        <f t="shared" si="7"/>
        <v>1.9888511189348883</v>
      </c>
      <c r="M60" s="41">
        <f t="shared" si="7"/>
        <v>1.9127996093228876</v>
      </c>
      <c r="N60" s="41">
        <f t="shared" si="7"/>
        <v>1.8397961466403903</v>
      </c>
      <c r="O60" s="41">
        <f t="shared" si="7"/>
        <v>1.7697122406019541</v>
      </c>
      <c r="P60" s="41">
        <f t="shared" si="7"/>
        <v>1.7024250905178469</v>
      </c>
      <c r="Q60" s="41">
        <f t="shared" si="7"/>
        <v>1.8840959312201659</v>
      </c>
      <c r="R60" s="41">
        <f t="shared" si="7"/>
        <v>1.8092161770644748</v>
      </c>
      <c r="S60" s="41">
        <f t="shared" si="7"/>
        <v>1.7374656859437414</v>
      </c>
      <c r="T60" s="41">
        <f t="shared" si="7"/>
        <v>1.6687070126088301</v>
      </c>
      <c r="U60" s="41">
        <f t="shared" si="7"/>
        <v>1.6028090248719136</v>
      </c>
      <c r="V60" s="41">
        <f t="shared" si="7"/>
        <v>1.8936782971194328</v>
      </c>
      <c r="W60" s="41">
        <f t="shared" si="7"/>
        <v>1.8146754181874143</v>
      </c>
      <c r="X60" s="41">
        <f t="shared" si="7"/>
        <v>0</v>
      </c>
      <c r="Y60" s="41">
        <f t="shared" si="7"/>
        <v>0</v>
      </c>
      <c r="Z60" s="41">
        <f t="shared" si="7"/>
        <v>0</v>
      </c>
      <c r="AA60" s="41">
        <f t="shared" si="7"/>
        <v>0</v>
      </c>
      <c r="AB60" s="41">
        <f t="shared" si="7"/>
        <v>0</v>
      </c>
      <c r="AC60" s="41">
        <f t="shared" si="7"/>
        <v>0</v>
      </c>
      <c r="AD60" s="41">
        <f t="shared" si="7"/>
        <v>0</v>
      </c>
      <c r="AE60" s="41">
        <f t="shared" si="7"/>
        <v>0</v>
      </c>
      <c r="AF60" s="41">
        <f t="shared" si="7"/>
        <v>0</v>
      </c>
      <c r="AG60" s="41">
        <f t="shared" si="7"/>
        <v>0</v>
      </c>
      <c r="AH60" s="41">
        <f t="shared" si="7"/>
        <v>0</v>
      </c>
      <c r="AI60" s="41">
        <f t="shared" si="7"/>
        <v>0</v>
      </c>
      <c r="AJ60" s="41">
        <f t="shared" si="7"/>
        <v>0</v>
      </c>
      <c r="AK60" s="41">
        <f t="shared" si="7"/>
        <v>0</v>
      </c>
      <c r="AL60" s="41">
        <f t="shared" si="7"/>
        <v>0</v>
      </c>
      <c r="AM60" s="41">
        <f t="shared" si="7"/>
        <v>0</v>
      </c>
      <c r="AN60" s="41">
        <f t="shared" si="7"/>
        <v>0</v>
      </c>
      <c r="AO60" s="41">
        <f t="shared" si="7"/>
        <v>0</v>
      </c>
      <c r="AP60" s="41">
        <f t="shared" si="7"/>
        <v>0</v>
      </c>
      <c r="AQ60" s="41">
        <f t="shared" si="7"/>
        <v>0</v>
      </c>
    </row>
    <row r="62" spans="2:43" ht="15" customHeight="1" x14ac:dyDescent="0.45">
      <c r="B62" s="2" t="s">
        <v>129</v>
      </c>
      <c r="C62" s="2"/>
      <c r="D62" s="41"/>
    </row>
    <row r="63" spans="2:43" ht="15" customHeight="1" x14ac:dyDescent="0.45">
      <c r="B63" s="34"/>
      <c r="D63" s="41"/>
    </row>
    <row r="64" spans="2:43" ht="15" customHeight="1" x14ac:dyDescent="0.45">
      <c r="B64" s="38" t="s">
        <v>130</v>
      </c>
      <c r="D64" s="43">
        <f>IF(1&lt;=Cargo!$D$15,Cargo!$D$16,0)</f>
        <v>22167</v>
      </c>
      <c r="E64" s="43">
        <f>IF(2&lt;=Cargo!$D$15,Cargo!$D$16,0)</f>
        <v>22167</v>
      </c>
      <c r="F64" s="43">
        <f>IF(3&lt;=Cargo!$D$15,Cargo!$D$16,0)</f>
        <v>22167</v>
      </c>
      <c r="G64" s="43">
        <f>IF(4&lt;=Cargo!$D$15,Cargo!$D$16,0)</f>
        <v>22167</v>
      </c>
      <c r="H64" s="43">
        <f>IF(5&lt;=Cargo!$D$15,Cargo!$D$16,0)</f>
        <v>22167</v>
      </c>
      <c r="I64" s="43">
        <f>IF(6&lt;=Cargo!$D$15,Cargo!$D$16,0)</f>
        <v>22167</v>
      </c>
      <c r="J64" s="43">
        <f>IF(7&lt;=Cargo!$D$15,Cargo!$D$16,0)</f>
        <v>22167</v>
      </c>
      <c r="K64" s="43">
        <f>IF(8&lt;=Cargo!$D$15,Cargo!$D$16,0)</f>
        <v>22167</v>
      </c>
      <c r="L64" s="43">
        <f>IF(9&lt;=Cargo!$D$15,Cargo!$D$16,0)</f>
        <v>22167</v>
      </c>
      <c r="M64" s="43">
        <f>IF(10&lt;=Cargo!$D$15,Cargo!$D$16,0)</f>
        <v>22167</v>
      </c>
      <c r="N64" s="43">
        <f>IF(11&lt;=Cargo!$D$15,Cargo!$D$16,0)</f>
        <v>22167</v>
      </c>
      <c r="O64" s="43">
        <f>IF(12&lt;=Cargo!$D$15,Cargo!$D$16,0)</f>
        <v>22167</v>
      </c>
      <c r="P64" s="43">
        <f>IF(13&lt;=Cargo!$D$15,Cargo!$D$16,0)</f>
        <v>22167</v>
      </c>
      <c r="Q64" s="43">
        <f>IF(14&lt;=Cargo!$D$15,Cargo!$D$16,0)</f>
        <v>22167</v>
      </c>
      <c r="R64" s="43">
        <f>IF(15&lt;=Cargo!$D$15,Cargo!$D$16,0)</f>
        <v>22167</v>
      </c>
      <c r="S64" s="43">
        <f>IF(16&lt;=Cargo!$D$15,Cargo!$D$16,0)</f>
        <v>22167</v>
      </c>
      <c r="T64" s="43">
        <f>IF(17&lt;=Cargo!$D$15,Cargo!$D$16,0)</f>
        <v>22167</v>
      </c>
      <c r="U64" s="43">
        <f>IF(18&lt;=Cargo!$D$15,Cargo!$D$16,0)</f>
        <v>22167</v>
      </c>
      <c r="V64" s="43">
        <f>IF(19&lt;=Cargo!$D$15,Cargo!$D$16,0)</f>
        <v>22167</v>
      </c>
      <c r="W64" s="43">
        <f>IF(20&lt;=Cargo!$D$15,Cargo!$D$16,0)</f>
        <v>22167</v>
      </c>
      <c r="X64" s="43">
        <f>IF(21&lt;=Cargo!$D$15,Cargo!$D$16,0)</f>
        <v>0</v>
      </c>
      <c r="Y64" s="43">
        <f>IF(22&lt;=Cargo!$D$15,Cargo!$D$16,0)</f>
        <v>0</v>
      </c>
      <c r="Z64" s="43">
        <f>IF(23&lt;=Cargo!$D$15,Cargo!$D$16,0)</f>
        <v>0</v>
      </c>
      <c r="AA64" s="43">
        <f>IF(24&lt;=Cargo!$D$15,Cargo!$D$16,0)</f>
        <v>0</v>
      </c>
      <c r="AB64" s="43">
        <f>IF(25&lt;=Cargo!$D$15,Cargo!$D$16,0)</f>
        <v>0</v>
      </c>
      <c r="AC64" s="43">
        <f>IF(26&lt;=Cargo!$D$15,Cargo!$D$16,0)</f>
        <v>0</v>
      </c>
      <c r="AD64" s="43">
        <f>IF(27&lt;=Cargo!$D$15,Cargo!$D$16,0)</f>
        <v>0</v>
      </c>
      <c r="AE64" s="43">
        <f>IF(28&lt;=Cargo!$D$15,Cargo!$D$16,0)</f>
        <v>0</v>
      </c>
      <c r="AF64" s="43">
        <f>IF(29&lt;=Cargo!$D$15,Cargo!$D$16,0)</f>
        <v>0</v>
      </c>
      <c r="AG64" s="43">
        <f>IF(30&lt;=Cargo!$D$15,Cargo!$D$16,0)</f>
        <v>0</v>
      </c>
      <c r="AH64" s="43">
        <f>IF(31&lt;=Cargo!$D$15,Cargo!$D$16,0)</f>
        <v>0</v>
      </c>
      <c r="AI64" s="43">
        <f>IF(32&lt;=Cargo!$D$15,Cargo!$D$16,0)</f>
        <v>0</v>
      </c>
      <c r="AJ64" s="43">
        <f>IF(33&lt;=Cargo!$D$15,Cargo!$D$16,0)</f>
        <v>0</v>
      </c>
      <c r="AK64" s="43">
        <f>IF(34&lt;=Cargo!$D$15,Cargo!$D$16,0)</f>
        <v>0</v>
      </c>
      <c r="AL64" s="43">
        <f>IF(35&lt;=Cargo!$D$15,Cargo!$D$16,0)</f>
        <v>0</v>
      </c>
      <c r="AM64" s="43">
        <f>IF(36&lt;=Cargo!$D$15,Cargo!$D$16,0)</f>
        <v>0</v>
      </c>
      <c r="AN64" s="43">
        <f>IF(37&lt;=Cargo!$D$15,Cargo!$D$16,0)</f>
        <v>0</v>
      </c>
      <c r="AO64" s="43">
        <f>IF(38&lt;=Cargo!$D$15,Cargo!$D$16,0)</f>
        <v>0</v>
      </c>
      <c r="AP64" s="43">
        <f>IF(39&lt;=Cargo!$D$15,Cargo!$D$16,0)</f>
        <v>0</v>
      </c>
      <c r="AQ64" s="43">
        <f>IF(40&lt;=Cargo!$D$15,Cargo!$D$16,0)</f>
        <v>0</v>
      </c>
    </row>
    <row r="65" spans="2:43" ht="15" customHeight="1" x14ac:dyDescent="0.45">
      <c r="B65" s="38" t="s">
        <v>131</v>
      </c>
      <c r="D65" s="43">
        <f>IF(1&lt;=Cargo!$D$15,Vessel!$D$7*Fuel!$E$28*Fuel!$E$25-Vessel!$D$7*Fuel!$E$15*Fuel!$E$12,0)</f>
        <v>3682.2339913336546</v>
      </c>
      <c r="E65" s="43">
        <f>IF(2&lt;=Cargo!$D$15,Vessel!$D$7*Fuel!$E$28*Fuel!$E$25-Vessel!$D$7*Fuel!$E$15*Fuel!$E$12,0)</f>
        <v>3682.2339913336546</v>
      </c>
      <c r="F65" s="43">
        <f>IF(3&lt;=Cargo!$D$15,Vessel!$D$7*Fuel!$E$28*Fuel!$E$25-Vessel!$D$7*Fuel!$E$15*Fuel!$E$12,0)</f>
        <v>3682.2339913336546</v>
      </c>
      <c r="G65" s="43">
        <f>IF(4&lt;=Cargo!$D$15,Vessel!$D$7*Fuel!$E$28*Fuel!$E$25-Vessel!$D$7*Fuel!$E$15*Fuel!$E$12,0)</f>
        <v>3682.2339913336546</v>
      </c>
      <c r="H65" s="43">
        <f>IF(5&lt;=Cargo!$D$15,Vessel!$D$7*Fuel!$E$28*Fuel!$E$25-Vessel!$D$7*Fuel!$E$15*Fuel!$E$12,0)</f>
        <v>3682.2339913336546</v>
      </c>
      <c r="I65" s="43">
        <f>IF(6&lt;=Cargo!$D$15,Vessel!$D$7*Fuel!$E$28*Fuel!$E$25-Vessel!$D$7*Fuel!$E$15*Fuel!$E$12,0)</f>
        <v>3682.2339913336546</v>
      </c>
      <c r="J65" s="43">
        <f>IF(7&lt;=Cargo!$D$15,Vessel!$D$7*Fuel!$E$28*Fuel!$E$25-Vessel!$D$7*Fuel!$E$15*Fuel!$E$12,0)</f>
        <v>3682.2339913336546</v>
      </c>
      <c r="K65" s="43">
        <f>IF(8&lt;=Cargo!$D$15,Vessel!$D$7*Fuel!$E$28*Fuel!$E$25-Vessel!$D$7*Fuel!$E$15*Fuel!$E$12,0)</f>
        <v>3682.2339913336546</v>
      </c>
      <c r="L65" s="43">
        <f>IF(9&lt;=Cargo!$D$15,Vessel!$D$7*Fuel!$E$28*Fuel!$E$25-Vessel!$D$7*Fuel!$E$15*Fuel!$E$12,0)</f>
        <v>3682.2339913336546</v>
      </c>
      <c r="M65" s="43">
        <f>IF(10&lt;=Cargo!$D$15,Vessel!$D$7*Fuel!$E$28*Fuel!$E$25-Vessel!$D$7*Fuel!$E$15*Fuel!$E$12,0)</f>
        <v>3682.2339913336546</v>
      </c>
      <c r="N65" s="43">
        <f>IF(11&lt;=Cargo!$D$15,Vessel!$D$7*Fuel!$E$28*Fuel!$E$25-Vessel!$D$7*Fuel!$E$15*Fuel!$E$12,0)</f>
        <v>3682.2339913336546</v>
      </c>
      <c r="O65" s="43">
        <f>IF(12&lt;=Cargo!$D$15,Vessel!$D$7*Fuel!$E$28*Fuel!$E$25-Vessel!$D$7*Fuel!$E$15*Fuel!$E$12,0)</f>
        <v>3682.2339913336546</v>
      </c>
      <c r="P65" s="43">
        <f>IF(13&lt;=Cargo!$D$15,Vessel!$D$7*Fuel!$E$28*Fuel!$E$25-Vessel!$D$7*Fuel!$E$15*Fuel!$E$12,0)</f>
        <v>3682.2339913336546</v>
      </c>
      <c r="Q65" s="43">
        <f>IF(14&lt;=Cargo!$D$15,Vessel!$D$7*Fuel!$E$28*Fuel!$E$25-Vessel!$D$7*Fuel!$E$15*Fuel!$E$12,0)</f>
        <v>3682.2339913336546</v>
      </c>
      <c r="R65" s="43">
        <f>IF(15&lt;=Cargo!$D$15,Vessel!$D$7*Fuel!$E$28*Fuel!$E$25-Vessel!$D$7*Fuel!$E$15*Fuel!$E$12,0)</f>
        <v>3682.2339913336546</v>
      </c>
      <c r="S65" s="43">
        <f>IF(16&lt;=Cargo!$D$15,Vessel!$D$7*Fuel!$E$28*Fuel!$E$25-Vessel!$D$7*Fuel!$E$15*Fuel!$E$12,0)</f>
        <v>3682.2339913336546</v>
      </c>
      <c r="T65" s="43">
        <f>IF(17&lt;=Cargo!$D$15,Vessel!$D$7*Fuel!$E$28*Fuel!$E$25-Vessel!$D$7*Fuel!$E$15*Fuel!$E$12,0)</f>
        <v>3682.2339913336546</v>
      </c>
      <c r="U65" s="43">
        <f>IF(18&lt;=Cargo!$D$15,Vessel!$D$7*Fuel!$E$28*Fuel!$E$25-Vessel!$D$7*Fuel!$E$15*Fuel!$E$12,0)</f>
        <v>3682.2339913336546</v>
      </c>
      <c r="V65" s="43">
        <f>IF(19&lt;=Cargo!$D$15,Vessel!$D$7*Fuel!$E$28*Fuel!$E$25-Vessel!$D$7*Fuel!$E$15*Fuel!$E$12,0)</f>
        <v>3682.2339913336546</v>
      </c>
      <c r="W65" s="43">
        <f>IF(20&lt;=Cargo!$D$15,Vessel!$D$7*Fuel!$E$28*Fuel!$E$25-Vessel!$D$7*Fuel!$E$15*Fuel!$E$12,0)</f>
        <v>3682.2339913336546</v>
      </c>
      <c r="X65" s="43">
        <f>IF(21&lt;=Cargo!$D$15,Vessel!$D$7*Fuel!$E$28*Fuel!$E$25-Vessel!$D$7*Fuel!$E$15*Fuel!$E$12,0)</f>
        <v>0</v>
      </c>
      <c r="Y65" s="43">
        <f>IF(22&lt;=Cargo!$D$15,Vessel!$D$7*Fuel!$E$28*Fuel!$E$25-Vessel!$D$7*Fuel!$E$15*Fuel!$E$12,0)</f>
        <v>0</v>
      </c>
      <c r="Z65" s="43">
        <f>IF(23&lt;=Cargo!$D$15,Vessel!$D$7*Fuel!$E$28*Fuel!$E$25-Vessel!$D$7*Fuel!$E$15*Fuel!$E$12,0)</f>
        <v>0</v>
      </c>
      <c r="AA65" s="43">
        <f>IF(24&lt;=Cargo!$D$15,Vessel!$D$7*Fuel!$E$28*Fuel!$E$25-Vessel!$D$7*Fuel!$E$15*Fuel!$E$12,0)</f>
        <v>0</v>
      </c>
      <c r="AB65" s="43">
        <f>IF(25&lt;=Cargo!$D$15,Vessel!$D$7*Fuel!$E$28*Fuel!$E$25-Vessel!$D$7*Fuel!$E$15*Fuel!$E$12,0)</f>
        <v>0</v>
      </c>
      <c r="AC65" s="43">
        <f>IF(26&lt;=Cargo!$D$15,Vessel!$D$7*Fuel!$E$28*Fuel!$E$25-Vessel!$D$7*Fuel!$E$15*Fuel!$E$12,0)</f>
        <v>0</v>
      </c>
      <c r="AD65" s="43">
        <f>IF(27&lt;=Cargo!$D$15,Vessel!$D$7*Fuel!$E$28*Fuel!$E$25-Vessel!$D$7*Fuel!$E$15*Fuel!$E$12,0)</f>
        <v>0</v>
      </c>
      <c r="AE65" s="43">
        <f>IF(28&lt;=Cargo!$D$15,Vessel!$D$7*Fuel!$E$28*Fuel!$E$25-Vessel!$D$7*Fuel!$E$15*Fuel!$E$12,0)</f>
        <v>0</v>
      </c>
      <c r="AF65" s="43">
        <f>IF(29&lt;=Cargo!$D$15,Vessel!$D$7*Fuel!$E$28*Fuel!$E$25-Vessel!$D$7*Fuel!$E$15*Fuel!$E$12,0)</f>
        <v>0</v>
      </c>
      <c r="AG65" s="43">
        <f>IF(30&lt;=Cargo!$D$15,Vessel!$D$7*Fuel!$E$28*Fuel!$E$25-Vessel!$D$7*Fuel!$E$15*Fuel!$E$12,0)</f>
        <v>0</v>
      </c>
      <c r="AH65" s="43">
        <f>IF(31&lt;=Cargo!$D$15,Vessel!$D$7*Fuel!$E$28*Fuel!$E$25-Vessel!$D$7*Fuel!$E$15*Fuel!$E$12,0)</f>
        <v>0</v>
      </c>
      <c r="AI65" s="43">
        <f>IF(32&lt;=Cargo!$D$15,Vessel!$D$7*Fuel!$E$28*Fuel!$E$25-Vessel!$D$7*Fuel!$E$15*Fuel!$E$12,0)</f>
        <v>0</v>
      </c>
      <c r="AJ65" s="43">
        <f>IF(33&lt;=Cargo!$D$15,Vessel!$D$7*Fuel!$E$28*Fuel!$E$25-Vessel!$D$7*Fuel!$E$15*Fuel!$E$12,0)</f>
        <v>0</v>
      </c>
      <c r="AK65" s="43">
        <f>IF(34&lt;=Cargo!$D$15,Vessel!$D$7*Fuel!$E$28*Fuel!$E$25-Vessel!$D$7*Fuel!$E$15*Fuel!$E$12,0)</f>
        <v>0</v>
      </c>
      <c r="AL65" s="43">
        <f>IF(35&lt;=Cargo!$D$15,Vessel!$D$7*Fuel!$E$28*Fuel!$E$25-Vessel!$D$7*Fuel!$E$15*Fuel!$E$12,0)</f>
        <v>0</v>
      </c>
      <c r="AM65" s="43">
        <f>IF(36&lt;=Cargo!$D$15,Vessel!$D$7*Fuel!$E$28*Fuel!$E$25-Vessel!$D$7*Fuel!$E$15*Fuel!$E$12,0)</f>
        <v>0</v>
      </c>
      <c r="AN65" s="43">
        <f>IF(37&lt;=Cargo!$D$15,Vessel!$D$7*Fuel!$E$28*Fuel!$E$25-Vessel!$D$7*Fuel!$E$15*Fuel!$E$12,0)</f>
        <v>0</v>
      </c>
      <c r="AO65" s="43">
        <f>IF(38&lt;=Cargo!$D$15,Vessel!$D$7*Fuel!$E$28*Fuel!$E$25-Vessel!$D$7*Fuel!$E$15*Fuel!$E$12,0)</f>
        <v>0</v>
      </c>
      <c r="AP65" s="43">
        <f>IF(39&lt;=Cargo!$D$15,Vessel!$D$7*Fuel!$E$28*Fuel!$E$25-Vessel!$D$7*Fuel!$E$15*Fuel!$E$12,0)</f>
        <v>0</v>
      </c>
      <c r="AQ65" s="43">
        <f>IF(40&lt;=Cargo!$D$15,Vessel!$D$7*Fuel!$E$28*Fuel!$E$25-Vessel!$D$7*Fuel!$E$15*Fuel!$E$12,0)</f>
        <v>0</v>
      </c>
    </row>
    <row r="66" spans="2:43" ht="15" customHeight="1" x14ac:dyDescent="0.45">
      <c r="B66" s="34"/>
      <c r="D66" s="41"/>
    </row>
    <row r="67" spans="2:43" ht="15" customHeight="1" x14ac:dyDescent="0.45">
      <c r="B67" s="34"/>
      <c r="D67" s="41"/>
    </row>
    <row r="68" spans="2:43" ht="15" customHeight="1" x14ac:dyDescent="0.45">
      <c r="B68" s="2" t="s">
        <v>132</v>
      </c>
      <c r="C68" s="2"/>
      <c r="D68" s="41"/>
    </row>
    <row r="69" spans="2:43" ht="15" customHeight="1" x14ac:dyDescent="0.45">
      <c r="B69" s="34"/>
      <c r="D69" s="41"/>
    </row>
    <row r="70" spans="2:43" ht="15" customHeight="1" x14ac:dyDescent="0.45">
      <c r="B70" s="34" t="s">
        <v>133</v>
      </c>
      <c r="D70" s="41">
        <f>SUM(D35:AQ35)</f>
        <v>205.59516274382005</v>
      </c>
    </row>
    <row r="71" spans="2:43" ht="15" customHeight="1" x14ac:dyDescent="0.45">
      <c r="B71" s="34" t="s">
        <v>134</v>
      </c>
      <c r="D71" s="41">
        <f>SUM(D60:AQ60)</f>
        <v>38.64457155477502</v>
      </c>
    </row>
    <row r="72" spans="2:43" ht="15" customHeight="1" x14ac:dyDescent="0.45">
      <c r="B72" s="34" t="s">
        <v>135</v>
      </c>
      <c r="D72" s="41">
        <f>SUMPRODUCT(D28:AQ28,D34:AQ34)</f>
        <v>0.28111000368159605</v>
      </c>
    </row>
    <row r="73" spans="2:43" ht="15" customHeight="1" x14ac:dyDescent="0.45">
      <c r="B73" s="34" t="s">
        <v>136</v>
      </c>
      <c r="D73" s="41">
        <f>SUMPRODUCT(D29:AQ29,D34:AQ34)</f>
        <v>0</v>
      </c>
    </row>
    <row r="74" spans="2:43" ht="15" customHeight="1" x14ac:dyDescent="0.45">
      <c r="B74" s="34" t="s">
        <v>137</v>
      </c>
      <c r="D74" s="41">
        <f>SUMPRODUCT(D30:AQ30,D34:AQ34)</f>
        <v>0</v>
      </c>
    </row>
    <row r="75" spans="2:43" ht="15" customHeight="1" x14ac:dyDescent="0.45">
      <c r="B75" s="34" t="s">
        <v>138</v>
      </c>
      <c r="D75" s="41">
        <f>SUMPRODUCT(D31:AQ31,D34:AQ34)</f>
        <v>0</v>
      </c>
    </row>
    <row r="76" spans="2:43" ht="14.25" customHeight="1" x14ac:dyDescent="0.45">
      <c r="B76" s="34" t="s">
        <v>139</v>
      </c>
      <c r="D76" s="41">
        <f>SUMPRODUCT(D54:AQ54,D59:AQ59)</f>
        <v>4.2921721457652646</v>
      </c>
    </row>
    <row r="77" spans="2:43" ht="14.25" customHeight="1" x14ac:dyDescent="0.45">
      <c r="B77" s="34" t="s">
        <v>140</v>
      </c>
      <c r="D77" s="41">
        <f>SUMPRODUCT(D55:AQ55,D59:AQ59)</f>
        <v>6.1111250042445517</v>
      </c>
    </row>
    <row r="78" spans="2:43" ht="14.25" customHeight="1" x14ac:dyDescent="0.45">
      <c r="B78" s="34" t="s">
        <v>141</v>
      </c>
      <c r="D78" s="41">
        <f>SUMPRODUCT(D56:AQ56,D59:AQ59)</f>
        <v>0</v>
      </c>
    </row>
    <row r="79" spans="2:43" ht="14.25" customHeight="1" x14ac:dyDescent="0.45">
      <c r="B79" s="44" t="s">
        <v>142</v>
      </c>
      <c r="D79" s="45">
        <f>+D70-D71</f>
        <v>166.95059118904504</v>
      </c>
    </row>
    <row r="80" spans="2:43" ht="14.25" customHeight="1" x14ac:dyDescent="0.45">
      <c r="B80" s="34" t="s">
        <v>143</v>
      </c>
      <c r="D80" s="46">
        <f>SUM(D64:AQ64)</f>
        <v>443340</v>
      </c>
    </row>
    <row r="81" spans="2:4" ht="14.25" customHeight="1" x14ac:dyDescent="0.45">
      <c r="B81" s="34" t="s">
        <v>144</v>
      </c>
      <c r="D81" s="46">
        <f>SUM(D65:AQ65)</f>
        <v>73644.679826673091</v>
      </c>
    </row>
    <row r="82" spans="2:4" ht="14.25" customHeight="1" x14ac:dyDescent="0.45">
      <c r="B82" s="34" t="s">
        <v>145</v>
      </c>
      <c r="D82" s="41">
        <f>SUMPRODUCT(D25:AQ25,D34:AQ34)</f>
        <v>97</v>
      </c>
    </row>
    <row r="83" spans="2:4" ht="14.25" customHeight="1" x14ac:dyDescent="0.45">
      <c r="B83" s="34" t="s">
        <v>146</v>
      </c>
      <c r="D83" s="41">
        <f>SUMPRODUCT(D26:AQ26,D34:AQ34)</f>
        <v>108.31405274013841</v>
      </c>
    </row>
    <row r="84" spans="2:4" ht="14.25" customHeight="1" x14ac:dyDescent="0.45">
      <c r="B84" s="34" t="s">
        <v>147</v>
      </c>
      <c r="D84" s="41">
        <f>SUMPRODUCT(D51:AQ51,D59:AQ59)</f>
        <v>0</v>
      </c>
    </row>
    <row r="85" spans="2:4" ht="14.25" customHeight="1" x14ac:dyDescent="0.45">
      <c r="B85" s="34" t="s">
        <v>148</v>
      </c>
      <c r="D85" s="41">
        <f>SUMPRODUCT(D52:AQ52,D59:AQ59)</f>
        <v>28.241274404765189</v>
      </c>
    </row>
  </sheetData>
  <mergeCells count="5">
    <mergeCell ref="B5:C5"/>
    <mergeCell ref="B11:C11"/>
    <mergeCell ref="B37:C37"/>
    <mergeCell ref="B62:C62"/>
    <mergeCell ref="B68:C68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600-000004000000}">
            <xm:f>D$7&lt;=Cargo!$D$15</xm:f>
            <x14:dxf>
              <font>
                <b/>
                <sz val="10"/>
                <color rgb="FF006100"/>
                <name val="Arial"/>
                <charset val="1"/>
              </font>
              <fill>
                <patternFill>
                  <bgColor rgb="FFE2EFDA"/>
                </patternFill>
              </fill>
            </x14:dxf>
          </x14:cfRule>
          <x14:cfRule type="expression" priority="5" id="{00000000-000E-0000-0600-000005000000}">
            <xm:f>D$7&gt;Cargo!$D$15</xm:f>
            <x14:dxf>
              <font>
                <b/>
                <sz val="10"/>
                <color rgb="FF9C0006"/>
                <name val="Arial"/>
                <charset val="1"/>
              </font>
              <fill>
                <patternFill>
                  <bgColor rgb="FFFFC7CE"/>
                </patternFill>
              </fill>
            </x14:dxf>
          </x14:cfRule>
          <xm:sqref>D7:AQ8</xm:sqref>
        </x14:conditionalFormatting>
        <x14:conditionalFormatting xmlns:xm="http://schemas.microsoft.com/office/excel/2006/main">
          <x14:cfRule type="expression" priority="2" id="{00000000-000E-0000-0600-000002000000}">
            <xm:f>D$7&lt;=Cargo!$D$15</xm:f>
            <x14:dxf>
              <fill>
                <patternFill>
                  <bgColor rgb="FFE2EFDA"/>
                </patternFill>
              </fill>
            </x14:dxf>
          </x14:cfRule>
          <xm:sqref>D13:AQ35</xm:sqref>
        </x14:conditionalFormatting>
        <x14:conditionalFormatting xmlns:xm="http://schemas.microsoft.com/office/excel/2006/main">
          <x14:cfRule type="expression" priority="3" id="{00000000-000E-0000-0600-000003000000}">
            <xm:f>D$7&lt;=Cargo!$D$15</xm:f>
            <x14:dxf>
              <fill>
                <patternFill>
                  <bgColor rgb="FFFCE4D6"/>
                </patternFill>
              </fill>
            </x14:dxf>
          </x14:cfRule>
          <xm:sqref>D39:AQ60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B2:J43"/>
  <sheetViews>
    <sheetView showGridLines="0" zoomScale="90" zoomScaleNormal="45" workbookViewId="0">
      <selection activeCell="B42" sqref="B42:H42"/>
    </sheetView>
  </sheetViews>
  <sheetFormatPr defaultColWidth="8.59765625" defaultRowHeight="14.25" x14ac:dyDescent="0.45"/>
  <cols>
    <col min="2" max="2" width="44" customWidth="1"/>
    <col min="3" max="3" width="8.33203125" customWidth="1"/>
    <col min="4" max="4" width="18" customWidth="1"/>
    <col min="5" max="5" width="30" customWidth="1"/>
  </cols>
  <sheetData>
    <row r="2" spans="2:5" ht="17.25" customHeight="1" x14ac:dyDescent="0.5">
      <c r="B2" s="3" t="s">
        <v>149</v>
      </c>
    </row>
    <row r="3" spans="2:5" ht="15" customHeight="1" x14ac:dyDescent="0.45">
      <c r="B3" s="38" t="s">
        <v>150</v>
      </c>
      <c r="D3" s="34" t="str">
        <f>+Cargo!D8</f>
        <v>Introduce Corridor Name</v>
      </c>
    </row>
    <row r="4" spans="2:5" ht="14.25" customHeight="1" x14ac:dyDescent="0.45">
      <c r="B4" s="38" t="s">
        <v>151</v>
      </c>
      <c r="D4" s="34" t="str">
        <f>+Cargo!D6&amp;" / "&amp;Cargo!D7&amp;" ("&amp;Cargo!D9&amp;IF(Cargo!D7="Single point","","-"&amp;Cargo!D10)&amp;")"</f>
        <v>Denmark / Point-to-point (Introduce Port A-Introduce Port B)</v>
      </c>
    </row>
    <row r="5" spans="2:5" ht="15" customHeight="1" x14ac:dyDescent="0.45">
      <c r="B5" s="37"/>
    </row>
    <row r="6" spans="2:5" ht="14.25" customHeight="1" x14ac:dyDescent="0.45">
      <c r="B6" s="2" t="s">
        <v>152</v>
      </c>
      <c r="C6" s="2"/>
      <c r="D6" s="2"/>
      <c r="E6" s="2"/>
    </row>
    <row r="7" spans="2:5" ht="15" customHeight="1" x14ac:dyDescent="0.45">
      <c r="B7" s="38"/>
      <c r="D7" s="39"/>
    </row>
    <row r="8" spans="2:5" ht="15" customHeight="1" x14ac:dyDescent="0.45">
      <c r="B8" s="38" t="s">
        <v>153</v>
      </c>
      <c r="D8" s="39">
        <f>+Calculation!D70</f>
        <v>205.59516274382005</v>
      </c>
    </row>
    <row r="9" spans="2:5" ht="15" customHeight="1" x14ac:dyDescent="0.45">
      <c r="B9" s="38" t="s">
        <v>154</v>
      </c>
      <c r="D9" s="39">
        <f>+Calculation!D71</f>
        <v>38.64457155477502</v>
      </c>
      <c r="E9" s="7"/>
    </row>
    <row r="10" spans="2:5" ht="14.25" customHeight="1" x14ac:dyDescent="0.45">
      <c r="B10" s="44" t="s">
        <v>155</v>
      </c>
      <c r="D10" s="45">
        <f>+Calculation!D79</f>
        <v>166.95059118904504</v>
      </c>
      <c r="E10" s="7" t="s">
        <v>156</v>
      </c>
    </row>
    <row r="11" spans="2:5" ht="15" customHeight="1" x14ac:dyDescent="0.45">
      <c r="B11" s="37"/>
    </row>
    <row r="12" spans="2:5" ht="14.25" customHeight="1" x14ac:dyDescent="0.45">
      <c r="B12" s="2" t="s">
        <v>157</v>
      </c>
      <c r="C12" s="2"/>
      <c r="D12" s="2"/>
      <c r="E12" s="2"/>
    </row>
    <row r="13" spans="2:5" ht="15" customHeight="1" x14ac:dyDescent="0.45">
      <c r="B13" s="38"/>
      <c r="D13" s="39"/>
    </row>
    <row r="14" spans="2:5" ht="15" customHeight="1" x14ac:dyDescent="0.45">
      <c r="B14" s="38" t="s">
        <v>158</v>
      </c>
      <c r="D14" s="39">
        <f>+Calculation!D72</f>
        <v>0.28111000368159605</v>
      </c>
      <c r="E14" s="7"/>
    </row>
    <row r="15" spans="2:5" ht="15" customHeight="1" x14ac:dyDescent="0.45">
      <c r="B15" s="38" t="s">
        <v>159</v>
      </c>
      <c r="D15" s="39">
        <f>+Calculation!D73</f>
        <v>0</v>
      </c>
      <c r="E15" s="7"/>
    </row>
    <row r="16" spans="2:5" ht="15" customHeight="1" x14ac:dyDescent="0.45">
      <c r="B16" s="38" t="s">
        <v>160</v>
      </c>
      <c r="D16" s="39">
        <f>+Calculation!D74</f>
        <v>0</v>
      </c>
      <c r="E16" s="7" t="s">
        <v>161</v>
      </c>
    </row>
    <row r="17" spans="2:10" ht="15" customHeight="1" x14ac:dyDescent="0.45">
      <c r="B17" s="38" t="s">
        <v>162</v>
      </c>
      <c r="D17" s="39">
        <f>+Calculation!D75</f>
        <v>0</v>
      </c>
    </row>
    <row r="18" spans="2:10" ht="15" customHeight="1" x14ac:dyDescent="0.45">
      <c r="B18" s="38" t="s">
        <v>163</v>
      </c>
      <c r="D18" s="39">
        <f>+Calculation!D76</f>
        <v>4.2921721457652646</v>
      </c>
      <c r="E18" s="7"/>
    </row>
    <row r="19" spans="2:10" ht="15" customHeight="1" x14ac:dyDescent="0.45">
      <c r="B19" s="38" t="s">
        <v>164</v>
      </c>
      <c r="D19" s="39">
        <f>+Calculation!D77</f>
        <v>6.1111250042445517</v>
      </c>
      <c r="E19" s="7"/>
    </row>
    <row r="20" spans="2:10" ht="15" customHeight="1" x14ac:dyDescent="0.45">
      <c r="B20" s="38" t="s">
        <v>165</v>
      </c>
      <c r="D20" s="39">
        <f>+Calculation!D78</f>
        <v>0</v>
      </c>
    </row>
    <row r="21" spans="2:10" ht="15" customHeight="1" x14ac:dyDescent="0.45">
      <c r="B21" s="44" t="s">
        <v>166</v>
      </c>
      <c r="D21" s="45">
        <f>+(Calculation!D72+Calculation!D73+Calculation!D74+Calculation!D75)-(Calculation!D76+Calculation!D77+Calculation!D78)</f>
        <v>-10.122187146328221</v>
      </c>
      <c r="E21" s="7" t="s">
        <v>167</v>
      </c>
    </row>
    <row r="22" spans="2:10" ht="15" customHeight="1" x14ac:dyDescent="0.45">
      <c r="B22" s="47"/>
      <c r="D22" s="43"/>
    </row>
    <row r="23" spans="2:10" ht="15" customHeight="1" x14ac:dyDescent="0.45">
      <c r="B23" s="2" t="s">
        <v>168</v>
      </c>
      <c r="C23" s="2"/>
      <c r="D23" s="2"/>
      <c r="E23" s="2"/>
    </row>
    <row r="24" spans="2:10" ht="15" customHeight="1" x14ac:dyDescent="0.45"/>
    <row r="25" spans="2:10" ht="15" customHeight="1" x14ac:dyDescent="0.45">
      <c r="B25" s="38" t="s">
        <v>143</v>
      </c>
      <c r="D25" s="43">
        <f>+Calculation!D80</f>
        <v>443340</v>
      </c>
    </row>
    <row r="26" spans="2:10" ht="14.25" customHeight="1" x14ac:dyDescent="0.45">
      <c r="B26" s="34" t="s">
        <v>169</v>
      </c>
      <c r="D26" s="46">
        <f>+D10*1000000/D25</f>
        <v>376.57461810133316</v>
      </c>
    </row>
    <row r="27" spans="2:10" ht="15" customHeight="1" x14ac:dyDescent="0.45">
      <c r="B27" s="38"/>
      <c r="D27" s="43"/>
    </row>
    <row r="28" spans="2:10" ht="15" customHeight="1" x14ac:dyDescent="0.45">
      <c r="B28" s="2" t="s">
        <v>170</v>
      </c>
      <c r="C28" s="2"/>
      <c r="D28" s="2"/>
      <c r="E28" s="2"/>
    </row>
    <row r="30" spans="2:10" ht="15" customHeight="1" x14ac:dyDescent="0.45">
      <c r="B30" s="38" t="s">
        <v>171</v>
      </c>
      <c r="D30" s="43">
        <f>+Calculation!D81</f>
        <v>73644.679826673091</v>
      </c>
      <c r="I30" s="38"/>
      <c r="J30" s="38"/>
    </row>
    <row r="31" spans="2:10" ht="15" customHeight="1" x14ac:dyDescent="0.45">
      <c r="B31" s="34" t="s">
        <v>172</v>
      </c>
      <c r="C31" s="38"/>
      <c r="D31" s="46">
        <f>+D10*1000000/D30</f>
        <v>2266.974227900409</v>
      </c>
      <c r="E31" s="38"/>
      <c r="F31" s="38"/>
      <c r="G31" s="38"/>
      <c r="H31" s="38"/>
      <c r="I31" s="38"/>
      <c r="J31" s="38"/>
    </row>
    <row r="32" spans="2:10" ht="15" customHeight="1" x14ac:dyDescent="0.45">
      <c r="B32" s="16"/>
      <c r="C32" s="16"/>
      <c r="D32" s="16"/>
      <c r="E32" s="16"/>
      <c r="F32" s="16"/>
      <c r="G32" s="16"/>
      <c r="H32" s="16"/>
      <c r="I32" s="16"/>
      <c r="J32" s="38"/>
    </row>
    <row r="33" spans="2:10" ht="15" customHeight="1" x14ac:dyDescent="0.45">
      <c r="B33" s="2" t="s">
        <v>173</v>
      </c>
      <c r="C33" s="2"/>
      <c r="D33" s="2"/>
      <c r="E33" s="2"/>
      <c r="F33" s="2"/>
      <c r="G33" s="2"/>
      <c r="H33" s="2"/>
      <c r="I33" s="39"/>
      <c r="J33" s="38"/>
    </row>
    <row r="34" spans="2:10" ht="15" customHeight="1" x14ac:dyDescent="0.45">
      <c r="B34" s="38"/>
      <c r="C34" s="39"/>
      <c r="D34" s="39"/>
      <c r="E34" s="39"/>
      <c r="F34" s="39"/>
      <c r="G34" s="39"/>
      <c r="H34" s="39"/>
      <c r="I34" s="39"/>
      <c r="J34" s="38"/>
    </row>
    <row r="35" spans="2:10" ht="15" customHeight="1" x14ac:dyDescent="0.45">
      <c r="B35" s="16" t="s">
        <v>174</v>
      </c>
      <c r="C35" s="48" t="s">
        <v>175</v>
      </c>
      <c r="D35" s="48" t="s">
        <v>176</v>
      </c>
      <c r="E35" s="48" t="s">
        <v>177</v>
      </c>
      <c r="F35" s="48" t="s">
        <v>178</v>
      </c>
      <c r="G35" s="48" t="s">
        <v>179</v>
      </c>
      <c r="H35" s="48" t="s">
        <v>180</v>
      </c>
      <c r="I35" s="48" t="s">
        <v>181</v>
      </c>
      <c r="J35" s="38"/>
    </row>
    <row r="36" spans="2:10" ht="15" customHeight="1" x14ac:dyDescent="0.45">
      <c r="B36" s="38" t="s">
        <v>182</v>
      </c>
      <c r="C36" s="39"/>
      <c r="D36" s="39">
        <v>0</v>
      </c>
      <c r="E36" s="39">
        <f>+Calculation!D71</f>
        <v>38.64457155477502</v>
      </c>
      <c r="F36" s="39">
        <v>0</v>
      </c>
      <c r="G36" s="39">
        <v>0</v>
      </c>
      <c r="H36" s="39">
        <v>0</v>
      </c>
      <c r="I36" s="39">
        <f>+E36</f>
        <v>38.64457155477502</v>
      </c>
      <c r="J36" s="38"/>
    </row>
    <row r="37" spans="2:10" ht="15" customHeight="1" x14ac:dyDescent="0.45">
      <c r="B37" s="38" t="s">
        <v>183</v>
      </c>
      <c r="C37" s="39">
        <f>Calculation!D82-Calculation!D84</f>
        <v>97</v>
      </c>
      <c r="D37" s="39">
        <f>+E36</f>
        <v>38.64457155477502</v>
      </c>
      <c r="E37" s="39">
        <f>+D37+C37</f>
        <v>135.64457155477501</v>
      </c>
      <c r="F37" s="39">
        <f>MIN(D37,E37)</f>
        <v>38.64457155477502</v>
      </c>
      <c r="G37" s="39">
        <f>IF(C37&gt;=0,ABS(C37),0)</f>
        <v>97</v>
      </c>
      <c r="H37" s="39">
        <f>IF(C37&lt;0,ABS(C37),0)</f>
        <v>0</v>
      </c>
      <c r="I37" s="39">
        <v>0</v>
      </c>
      <c r="J37" s="38"/>
    </row>
    <row r="38" spans="2:10" ht="15" customHeight="1" x14ac:dyDescent="0.45">
      <c r="B38" s="38" t="s">
        <v>184</v>
      </c>
      <c r="C38" s="39">
        <f>Calculation!D83-Calculation!D85</f>
        <v>80.072778335373215</v>
      </c>
      <c r="D38" s="39">
        <f>+E37</f>
        <v>135.64457155477501</v>
      </c>
      <c r="E38" s="39">
        <f>+D38+C38</f>
        <v>215.71734989014823</v>
      </c>
      <c r="F38" s="39">
        <f>MIN(D38,E38)</f>
        <v>135.64457155477501</v>
      </c>
      <c r="G38" s="39">
        <f>IF(C38&gt;=0,ABS(C38),0)</f>
        <v>80.072778335373215</v>
      </c>
      <c r="H38" s="39">
        <f>IF(C38&lt;0,ABS(C38),0)</f>
        <v>0</v>
      </c>
      <c r="I38" s="39">
        <v>0</v>
      </c>
      <c r="J38" s="38"/>
    </row>
    <row r="39" spans="2:10" ht="15" customHeight="1" x14ac:dyDescent="0.45">
      <c r="B39" s="38" t="s">
        <v>185</v>
      </c>
      <c r="C39" s="39">
        <f>(Calculation!D72+Calculation!D73+Calculation!D74+Calculation!D75)-(Calculation!D76+Calculation!D77+Calculation!D78)</f>
        <v>-10.122187146328221</v>
      </c>
      <c r="D39" s="39">
        <f>+E38</f>
        <v>215.71734989014823</v>
      </c>
      <c r="E39" s="39">
        <f>+D39+C39</f>
        <v>205.59516274382</v>
      </c>
      <c r="F39" s="39">
        <f>MIN(D39,E39)</f>
        <v>205.59516274382</v>
      </c>
      <c r="G39" s="39">
        <f>IF(C39&gt;=0,ABS(C39),0)</f>
        <v>0</v>
      </c>
      <c r="H39" s="39">
        <f>IF(C39&lt;0,ABS(C39),0)</f>
        <v>10.122187146328221</v>
      </c>
      <c r="I39" s="39">
        <v>0</v>
      </c>
      <c r="J39" s="38"/>
    </row>
    <row r="40" spans="2:10" ht="15" customHeight="1" x14ac:dyDescent="0.45">
      <c r="B40" s="38" t="s">
        <v>186</v>
      </c>
      <c r="C40" s="39"/>
      <c r="D40" s="39">
        <v>0</v>
      </c>
      <c r="E40" s="39">
        <f>+Calculation!D70</f>
        <v>205.59516274382005</v>
      </c>
      <c r="F40" s="39">
        <v>0</v>
      </c>
      <c r="G40" s="39">
        <v>0</v>
      </c>
      <c r="H40" s="39">
        <v>0</v>
      </c>
      <c r="I40" s="39">
        <f>+E40</f>
        <v>205.59516274382005</v>
      </c>
      <c r="J40" s="38"/>
    </row>
    <row r="41" spans="2:10" ht="15" customHeight="1" x14ac:dyDescent="0.45">
      <c r="B41" s="38"/>
      <c r="C41" s="38"/>
      <c r="D41" s="38"/>
      <c r="E41" s="38"/>
      <c r="F41" s="38"/>
      <c r="G41" s="38"/>
      <c r="H41" s="38"/>
      <c r="I41" s="38"/>
      <c r="J41" s="38"/>
    </row>
    <row r="42" spans="2:10" ht="15" customHeight="1" x14ac:dyDescent="0.45">
      <c r="B42" s="1" t="s">
        <v>187</v>
      </c>
      <c r="C42" s="1"/>
      <c r="D42" s="1"/>
      <c r="E42" s="1"/>
      <c r="F42" s="1"/>
      <c r="G42" s="1"/>
      <c r="H42" s="1"/>
      <c r="I42" s="38"/>
      <c r="J42" s="38"/>
    </row>
    <row r="43" spans="2:10" ht="15" customHeight="1" x14ac:dyDescent="0.45">
      <c r="B43" s="38"/>
      <c r="C43" s="38"/>
      <c r="D43" s="38"/>
      <c r="E43" s="38"/>
      <c r="F43" s="38"/>
      <c r="G43" s="38"/>
      <c r="H43" s="38"/>
      <c r="I43" s="38"/>
      <c r="J43" s="38"/>
    </row>
  </sheetData>
  <mergeCells count="6">
    <mergeCell ref="B42:H42"/>
    <mergeCell ref="B6:E6"/>
    <mergeCell ref="B12:E12"/>
    <mergeCell ref="B23:E23"/>
    <mergeCell ref="B28:E28"/>
    <mergeCell ref="B33:H3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B2:M33"/>
  <sheetViews>
    <sheetView tabSelected="1" topLeftCell="A7" zoomScale="80" zoomScaleNormal="100" workbookViewId="0">
      <selection activeCell="B33" sqref="B33"/>
    </sheetView>
  </sheetViews>
  <sheetFormatPr defaultColWidth="8.59765625" defaultRowHeight="14.25" x14ac:dyDescent="0.45"/>
  <cols>
    <col min="1" max="1" width="3" customWidth="1"/>
    <col min="2" max="2" width="24" customWidth="1"/>
    <col min="3" max="4" width="16" customWidth="1"/>
    <col min="5" max="5" width="35.19921875" customWidth="1"/>
    <col min="6" max="6" width="38.9296875" bestFit="1" customWidth="1"/>
    <col min="7" max="13" width="16" customWidth="1"/>
  </cols>
  <sheetData>
    <row r="2" spans="2:13" ht="17.25" customHeight="1" x14ac:dyDescent="0.5">
      <c r="B2" s="3" t="s">
        <v>188</v>
      </c>
    </row>
    <row r="4" spans="2:13" ht="15" customHeight="1" x14ac:dyDescent="0.45">
      <c r="B4" s="57" t="s">
        <v>189</v>
      </c>
      <c r="C4" s="57"/>
      <c r="D4" s="57"/>
      <c r="E4" s="57"/>
      <c r="F4" s="57"/>
    </row>
    <row r="5" spans="2:13" ht="15" customHeight="1" x14ac:dyDescent="0.45">
      <c r="B5" s="49" t="s">
        <v>190</v>
      </c>
      <c r="C5" s="49" t="s">
        <v>191</v>
      </c>
      <c r="D5" s="49" t="s">
        <v>192</v>
      </c>
      <c r="E5" s="49" t="s">
        <v>52</v>
      </c>
      <c r="F5" s="49" t="s">
        <v>193</v>
      </c>
    </row>
    <row r="6" spans="2:13" ht="15" customHeight="1" x14ac:dyDescent="0.45">
      <c r="B6" s="38" t="s">
        <v>28</v>
      </c>
      <c r="C6" s="39">
        <v>20</v>
      </c>
      <c r="D6" s="39">
        <v>1.2</v>
      </c>
      <c r="E6" s="43">
        <v>2400</v>
      </c>
      <c r="F6" s="50">
        <v>4</v>
      </c>
    </row>
    <row r="7" spans="2:13" ht="15" customHeight="1" x14ac:dyDescent="0.45">
      <c r="B7" s="38" t="s">
        <v>194</v>
      </c>
      <c r="C7" s="39">
        <v>35</v>
      </c>
      <c r="D7" s="39">
        <v>2</v>
      </c>
      <c r="E7" s="43">
        <v>5200</v>
      </c>
      <c r="F7" s="50">
        <v>7</v>
      </c>
    </row>
    <row r="8" spans="2:13" ht="15" customHeight="1" x14ac:dyDescent="0.45">
      <c r="B8" s="38" t="s">
        <v>195</v>
      </c>
      <c r="C8" s="39">
        <v>25</v>
      </c>
      <c r="D8" s="39">
        <v>1.5</v>
      </c>
      <c r="E8" s="43">
        <v>3000</v>
      </c>
      <c r="F8" s="50">
        <v>5</v>
      </c>
    </row>
    <row r="9" spans="2:13" ht="15" customHeight="1" x14ac:dyDescent="0.45">
      <c r="B9" s="38" t="s">
        <v>196</v>
      </c>
      <c r="C9" s="39">
        <v>45</v>
      </c>
      <c r="D9" s="39">
        <v>2.8</v>
      </c>
      <c r="E9" s="43">
        <v>6500</v>
      </c>
      <c r="F9" s="50">
        <v>6</v>
      </c>
    </row>
    <row r="10" spans="2:13" ht="15" customHeight="1" x14ac:dyDescent="0.45">
      <c r="B10" s="38" t="s">
        <v>197</v>
      </c>
      <c r="C10" s="39">
        <v>90</v>
      </c>
      <c r="D10" s="39">
        <v>5</v>
      </c>
      <c r="E10" s="43">
        <v>14000</v>
      </c>
      <c r="F10" s="50">
        <v>10</v>
      </c>
    </row>
    <row r="11" spans="2:13" ht="15" customHeight="1" x14ac:dyDescent="0.45">
      <c r="B11" s="38" t="s">
        <v>198</v>
      </c>
      <c r="C11" s="39">
        <v>30</v>
      </c>
      <c r="D11" s="39">
        <v>2</v>
      </c>
      <c r="E11" s="43">
        <v>3500</v>
      </c>
      <c r="F11" s="50">
        <v>4.5</v>
      </c>
    </row>
    <row r="13" spans="2:13" ht="15" customHeight="1" x14ac:dyDescent="0.45">
      <c r="B13" s="2" t="s">
        <v>199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45" customHeight="1" x14ac:dyDescent="0.45">
      <c r="B14" s="51" t="s">
        <v>200</v>
      </c>
      <c r="C14" s="51" t="s">
        <v>201</v>
      </c>
      <c r="D14" s="51" t="s">
        <v>202</v>
      </c>
      <c r="E14" s="51" t="s">
        <v>203</v>
      </c>
      <c r="F14" s="51" t="s">
        <v>204</v>
      </c>
      <c r="G14" s="51" t="s">
        <v>205</v>
      </c>
      <c r="H14" s="51" t="s">
        <v>206</v>
      </c>
      <c r="I14" s="51" t="s">
        <v>207</v>
      </c>
      <c r="J14" s="51" t="s">
        <v>208</v>
      </c>
      <c r="K14" s="51" t="s">
        <v>209</v>
      </c>
      <c r="L14" s="51" t="s">
        <v>49</v>
      </c>
      <c r="M14" s="51" t="s">
        <v>50</v>
      </c>
    </row>
    <row r="15" spans="2:13" ht="15" customHeight="1" x14ac:dyDescent="0.45">
      <c r="B15" s="38" t="s">
        <v>58</v>
      </c>
      <c r="C15" s="43">
        <v>594</v>
      </c>
      <c r="D15" s="52">
        <v>3.3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3">
        <v>0</v>
      </c>
      <c r="L15" s="54">
        <v>40200</v>
      </c>
      <c r="M15" s="55">
        <v>92.4</v>
      </c>
    </row>
    <row r="16" spans="2:13" ht="15" customHeight="1" x14ac:dyDescent="0.45">
      <c r="B16" s="38" t="s">
        <v>210</v>
      </c>
      <c r="C16" s="43">
        <v>550</v>
      </c>
      <c r="D16" s="52">
        <v>2.75</v>
      </c>
      <c r="E16" s="52">
        <v>15</v>
      </c>
      <c r="F16" s="52">
        <v>1</v>
      </c>
      <c r="G16" s="52">
        <v>8</v>
      </c>
      <c r="H16" s="52">
        <v>0.3</v>
      </c>
      <c r="I16" s="52">
        <v>3</v>
      </c>
      <c r="J16" s="52">
        <v>0.1</v>
      </c>
      <c r="K16" s="53">
        <v>0.1</v>
      </c>
      <c r="L16" s="54">
        <v>48000</v>
      </c>
      <c r="M16" s="55">
        <v>84</v>
      </c>
    </row>
    <row r="17" spans="2:13" ht="15" customHeight="1" x14ac:dyDescent="0.45">
      <c r="B17" s="38" t="s">
        <v>44</v>
      </c>
      <c r="C17" s="43">
        <v>900</v>
      </c>
      <c r="D17" s="52">
        <v>0.1</v>
      </c>
      <c r="E17" s="52">
        <v>55</v>
      </c>
      <c r="F17" s="52">
        <v>3</v>
      </c>
      <c r="G17" s="52">
        <v>12</v>
      </c>
      <c r="H17" s="52">
        <v>0.5</v>
      </c>
      <c r="I17" s="52">
        <v>5</v>
      </c>
      <c r="J17" s="52">
        <v>0.3</v>
      </c>
      <c r="K17" s="53">
        <v>0.25</v>
      </c>
      <c r="L17" s="54">
        <v>18600</v>
      </c>
      <c r="M17" s="55">
        <v>15</v>
      </c>
    </row>
    <row r="18" spans="2:13" ht="15" customHeight="1" x14ac:dyDescent="0.45">
      <c r="B18" s="38" t="s">
        <v>211</v>
      </c>
      <c r="C18" s="43">
        <v>850</v>
      </c>
      <c r="D18" s="52">
        <v>0.2</v>
      </c>
      <c r="E18" s="52">
        <v>45</v>
      </c>
      <c r="F18" s="52">
        <v>2.5</v>
      </c>
      <c r="G18" s="52">
        <v>8</v>
      </c>
      <c r="H18" s="52">
        <v>0.4</v>
      </c>
      <c r="I18" s="52">
        <v>4</v>
      </c>
      <c r="J18" s="52">
        <v>0.2</v>
      </c>
      <c r="K18" s="53">
        <v>0.15</v>
      </c>
      <c r="L18" s="54">
        <v>19900</v>
      </c>
      <c r="M18" s="55">
        <v>15</v>
      </c>
    </row>
    <row r="19" spans="2:13" ht="15" customHeight="1" x14ac:dyDescent="0.45">
      <c r="B19" s="38" t="s">
        <v>212</v>
      </c>
      <c r="C19" s="43">
        <v>1100</v>
      </c>
      <c r="D19" s="52">
        <v>0.3</v>
      </c>
      <c r="E19" s="52">
        <v>5</v>
      </c>
      <c r="F19" s="52">
        <v>0.5</v>
      </c>
      <c r="G19" s="52">
        <v>1</v>
      </c>
      <c r="H19" s="52">
        <v>0.1</v>
      </c>
      <c r="I19" s="52">
        <v>0.5</v>
      </c>
      <c r="J19" s="52">
        <v>0.05</v>
      </c>
      <c r="K19" s="53">
        <v>0.05</v>
      </c>
      <c r="L19" s="54">
        <v>44000</v>
      </c>
      <c r="M19" s="55">
        <v>25</v>
      </c>
    </row>
    <row r="20" spans="2:13" ht="15" customHeight="1" x14ac:dyDescent="0.45">
      <c r="B20" s="38" t="s">
        <v>213</v>
      </c>
      <c r="C20" s="43">
        <v>1200</v>
      </c>
      <c r="D20" s="52">
        <v>0</v>
      </c>
      <c r="E20" s="52">
        <v>80</v>
      </c>
      <c r="F20" s="52">
        <v>4</v>
      </c>
      <c r="G20" s="52">
        <v>20</v>
      </c>
      <c r="H20" s="52">
        <v>0.8</v>
      </c>
      <c r="I20" s="52">
        <v>8</v>
      </c>
      <c r="J20" s="52">
        <v>0.4</v>
      </c>
      <c r="K20" s="53">
        <v>0.3</v>
      </c>
      <c r="L20" s="54">
        <v>120000</v>
      </c>
      <c r="M20" s="55">
        <v>10</v>
      </c>
    </row>
    <row r="22" spans="2:13" ht="15" customHeight="1" x14ac:dyDescent="0.45">
      <c r="B22" s="7"/>
    </row>
    <row r="23" spans="2:13" ht="14.25" customHeight="1" x14ac:dyDescent="0.45">
      <c r="B23" s="4" t="s">
        <v>214</v>
      </c>
    </row>
    <row r="24" spans="2:13" ht="15" customHeight="1" x14ac:dyDescent="0.45">
      <c r="B24" s="38" t="s">
        <v>7</v>
      </c>
      <c r="C24" s="38" t="s">
        <v>215</v>
      </c>
    </row>
    <row r="25" spans="2:13" ht="14.25" customHeight="1" x14ac:dyDescent="0.45">
      <c r="B25" s="38" t="s">
        <v>8</v>
      </c>
      <c r="C25" s="56">
        <v>5.5E-2</v>
      </c>
    </row>
    <row r="26" spans="2:13" ht="14.25" customHeight="1" x14ac:dyDescent="0.45">
      <c r="B26" s="38" t="s">
        <v>216</v>
      </c>
      <c r="C26" s="56">
        <v>5.5E-2</v>
      </c>
    </row>
    <row r="27" spans="2:13" ht="14.25" customHeight="1" x14ac:dyDescent="0.45">
      <c r="B27" s="38" t="s">
        <v>217</v>
      </c>
      <c r="C27" s="56">
        <v>9.5000000000000001E-2</v>
      </c>
    </row>
    <row r="28" spans="2:13" ht="14.25" customHeight="1" x14ac:dyDescent="0.45">
      <c r="B28" s="38" t="s">
        <v>218</v>
      </c>
      <c r="C28" s="56">
        <v>0.115</v>
      </c>
    </row>
    <row r="29" spans="2:13" ht="14.25" customHeight="1" x14ac:dyDescent="0.45">
      <c r="B29" s="38" t="s">
        <v>219</v>
      </c>
      <c r="C29" s="56">
        <v>0.06</v>
      </c>
    </row>
    <row r="30" spans="2:13" ht="14.25" customHeight="1" x14ac:dyDescent="0.45">
      <c r="B30" s="38" t="s">
        <v>220</v>
      </c>
      <c r="C30" s="56">
        <v>7.0000000000000007E-2</v>
      </c>
    </row>
    <row r="31" spans="2:13" ht="14.25" customHeight="1" x14ac:dyDescent="0.45">
      <c r="B31" s="38" t="s">
        <v>221</v>
      </c>
      <c r="C31" s="56">
        <v>0.08</v>
      </c>
    </row>
    <row r="33" spans="2:2" ht="14.25" customHeight="1" x14ac:dyDescent="0.45">
      <c r="B33" s="7" t="s">
        <v>222</v>
      </c>
    </row>
  </sheetData>
  <mergeCells count="3">
    <mergeCell ref="B13:K13"/>
    <mergeCell ref="L13:M13"/>
    <mergeCell ref="B4:F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Cargo</vt:lpstr>
      <vt:lpstr>Vessel</vt:lpstr>
      <vt:lpstr>Fuel</vt:lpstr>
      <vt:lpstr>Port</vt:lpstr>
      <vt:lpstr>Regulation</vt:lpstr>
      <vt:lpstr>Calculation</vt:lpstr>
      <vt:lpstr>Output</vt:lpstr>
      <vt:lpstr>Data_tables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Gonzalo Sanz Sanchez</cp:lastModifiedBy>
  <cp:revision>22</cp:revision>
  <dcterms:created xsi:type="dcterms:W3CDTF">2026-07-23T11:20:49Z</dcterms:created>
  <dcterms:modified xsi:type="dcterms:W3CDTF">2026-07-30T09:29:34Z</dcterms:modified>
  <dc:language>en-US</dc:language>
</cp:coreProperties>
</file>